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2004A498-D6C1-49CB-B91B-153F24EFE060}" xr6:coauthVersionLast="47" xr6:coauthVersionMax="47" xr10:uidLastSave="{00000000-0000-0000-0000-000000000000}"/>
  <bookViews>
    <workbookView xWindow="-108" yWindow="-108" windowWidth="23256" windowHeight="12456" tabRatio="721" xr2:uid="{00000000-000D-0000-FFFF-FFFF00000000}"/>
  </bookViews>
  <sheets>
    <sheet name="2026-2027" sheetId="1" r:id="rId1"/>
  </sheets>
  <definedNames>
    <definedName name="_xlnm.Print_Area" localSheetId="0">'2026-2027'!$A$1:$T$137</definedName>
    <definedName name="ផេង_រិទ្ធីយ៉ា">#REF!</definedName>
    <definedName name="មុខវិជ្ចា1">#REF!</definedName>
    <definedName name="មុខវិជ្ចា២">#REF!</definedName>
  </definedNames>
  <calcPr calcId="191028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8" i="1" l="1"/>
  <c r="A9" i="1" l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I127" i="1"/>
  <c r="A23" i="1" l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D127" i="1" l="1"/>
  <c r="H127" i="1" s="1"/>
  <c r="D128" i="1" l="1"/>
  <c r="C129" i="1"/>
  <c r="D129" i="1"/>
  <c r="C130" i="1"/>
  <c r="D130" i="1"/>
</calcChain>
</file>

<file path=xl/sharedStrings.xml><?xml version="1.0" encoding="utf-8"?>
<sst xmlns="http://schemas.openxmlformats.org/spreadsheetml/2006/main" count="1170" uniqueCount="269">
  <si>
    <t>ព្រះរាជាណាចក្រកម្ពុជា</t>
  </si>
  <si>
    <t>ស្រុកកណ្ដាលស្ទឹង</t>
  </si>
  <si>
    <t>ជាតិ សាសនា ព្រះមហាក្សត្រ</t>
  </si>
  <si>
    <t>ការិយាល័យអប់រំ យុវជន និងកីឡា</t>
  </si>
  <si>
    <t>វិទ្យាល័យ ហ៊ុន សែន កំពង់កន្ទួត</t>
  </si>
  <si>
    <t>លរ</t>
  </si>
  <si>
    <t>អត្តលេខ</t>
  </si>
  <si>
    <t>គោត្តនាម
និងនាម</t>
  </si>
  <si>
    <t>ភេទ</t>
  </si>
  <si>
    <t>ថ្ងៃខែឆ្នាំ
កំណើត</t>
  </si>
  <si>
    <t>កំរិតវប្បធម៌</t>
  </si>
  <si>
    <t>កម្រិត
បណ្តុះបណ្តាល</t>
  </si>
  <si>
    <t>ថ្ងៃចូលបំរើ
ការងាររដ្ឋ</t>
  </si>
  <si>
    <t>ថ្ងៃខែឆ្នាំតែង
តាំងស៊ប់</t>
  </si>
  <si>
    <t>ភារកិច្ច
បច្ចុប្បន្ន</t>
  </si>
  <si>
    <t>កាំបៀវត្សបច្ចុប្បន្ន</t>
  </si>
  <si>
    <t>លេខទូរស័ព្ទ</t>
  </si>
  <si>
    <t>ប្រភេទ</t>
  </si>
  <si>
    <t>ឆ្នាំទទួល</t>
  </si>
  <si>
    <t>ប្រ.លេខ</t>
  </si>
  <si>
    <t>លេខរៀង</t>
  </si>
  <si>
    <t>ផេង រិទ្ធីយ៉ា</t>
  </si>
  <si>
    <t>ប</t>
  </si>
  <si>
    <t>បរិ.ជាន់ខ្ពស់</t>
  </si>
  <si>
    <t>គ្រូទុតិយភូមិ</t>
  </si>
  <si>
    <t>ភូមិវិទ្យា</t>
  </si>
  <si>
    <t>នាយក</t>
  </si>
  <si>
    <t>ក</t>
  </si>
  <si>
    <t>នស/រកត/០៨២៤/៩៣៦</t>
  </si>
  <si>
    <t>សុន​ សុមនី</t>
  </si>
  <si>
    <t>ស</t>
  </si>
  <si>
    <t xml:space="preserve">បរិញ្ញាបត្រ </t>
  </si>
  <si>
    <t>ប្រវត្តិវិទ្យា</t>
  </si>
  <si>
    <t>នាយិការង</t>
  </si>
  <si>
    <t>ទិន សុភី</t>
  </si>
  <si>
    <t>ជីវវិទ្យា</t>
  </si>
  <si>
    <t>នាយករង</t>
  </si>
  <si>
    <t>ប៊ុន ណារី</t>
  </si>
  <si>
    <t>គីមីវិទ្យា</t>
  </si>
  <si>
    <t xml:space="preserve"> </t>
  </si>
  <si>
    <t>ម៉ែន និមល</t>
  </si>
  <si>
    <t>គ្រូបឋមភូមិ</t>
  </si>
  <si>
    <t>រូបវិទ្យា</t>
  </si>
  <si>
    <t>ខ</t>
  </si>
  <si>
    <t>១៤៨៩ អយក.ប្រក</t>
  </si>
  <si>
    <t>ទុន វណ្ណៈ</t>
  </si>
  <si>
    <t>ព័ត៌មានវិទ្យា</t>
  </si>
  <si>
    <t>គ្រប់គ្រង</t>
  </si>
  <si>
    <t>លេខា</t>
  </si>
  <si>
    <t>៧៨០ អនក្រ.តត</t>
  </si>
  <si>
    <t>គាន​ ហ៊ឺ</t>
  </si>
  <si>
    <t>អក្សរសាស្ត្រ</t>
  </si>
  <si>
    <t>ប្រវត្តិសិល្បៈ</t>
  </si>
  <si>
    <t>ទូច សុខម៉េត</t>
  </si>
  <si>
    <t>ផែនដី</t>
  </si>
  <si>
    <t>គណនេយ្យ</t>
  </si>
  <si>
    <t>ស៊ុំ វ៉េង</t>
  </si>
  <si>
    <t>បេឡា</t>
  </si>
  <si>
    <t>ហេង​ ឃាង</t>
  </si>
  <si>
    <t>បង្រៀន</t>
  </si>
  <si>
    <t>លី ហួត</t>
  </si>
  <si>
    <t>គណិតវិទ្យា</t>
  </si>
  <si>
    <t>ខៀវ ខេមរិន្ទ</t>
  </si>
  <si>
    <t>ឡេង សេស</t>
  </si>
  <si>
    <t>ប៊ុន ឡាង</t>
  </si>
  <si>
    <t>សូកាន លក្ខិណា</t>
  </si>
  <si>
    <t>វិទ្យាសាស្ត្រអប់រំ</t>
  </si>
  <si>
    <t>អង់គ្លេស</t>
  </si>
  <si>
    <t>កង ចិន្តា</t>
  </si>
  <si>
    <t>ហេង សានសុផានី</t>
  </si>
  <si>
    <t>សេដ្ឋកិច្ច</t>
  </si>
  <si>
    <t>បរបន្ទុក</t>
  </si>
  <si>
    <t>ជួង សុភ័ក្រ</t>
  </si>
  <si>
    <t xml:space="preserve">ប </t>
  </si>
  <si>
    <t>ប៊ុន សម្បត្តិ</t>
  </si>
  <si>
    <t>ណុប វ៉ាង</t>
  </si>
  <si>
    <t>ឈាង ចាន់រ៉ា</t>
  </si>
  <si>
    <t>អេង រតនា</t>
  </si>
  <si>
    <t>អ៊ឹម សំអុល</t>
  </si>
  <si>
    <t>ទិត សោម៉នវីរៈ</t>
  </si>
  <si>
    <t>ចិត្តវិទ្យា</t>
  </si>
  <si>
    <t>សេង សុសៅគន្ធ</t>
  </si>
  <si>
    <t>ជឹម នី</t>
  </si>
  <si>
    <t>ខ្មែរ</t>
  </si>
  <si>
    <t>អាន ចាន់ថា</t>
  </si>
  <si>
    <t>សីលធម៌-ពលរដ្ឋ</t>
  </si>
  <si>
    <t>ផន កុសល</t>
  </si>
  <si>
    <t>ពលរដ្ឋ</t>
  </si>
  <si>
    <t>ដួង ពិសាល</t>
  </si>
  <si>
    <t>ដួង ពិសេស</t>
  </si>
  <si>
    <t>មូល គន្ធា</t>
  </si>
  <si>
    <t>អៀ សេរីពង្ស</t>
  </si>
  <si>
    <t>ខឹម សុផា</t>
  </si>
  <si>
    <t>ឃុន សុម៉ាឡា</t>
  </si>
  <si>
    <t>ស៊ុយ សេត</t>
  </si>
  <si>
    <t>ទុតិយភូមិ</t>
  </si>
  <si>
    <t>យុវជន</t>
  </si>
  <si>
    <t>កែវ សុគន្ធារី</t>
  </si>
  <si>
    <t>អោម សុខុម</t>
  </si>
  <si>
    <t>កសិកម្ម</t>
  </si>
  <si>
    <t>ក្រឹង ចន្ថា</t>
  </si>
  <si>
    <t>ឡុច សាវិន</t>
  </si>
  <si>
    <t>ផាត់ ស្រ៊ុន</t>
  </si>
  <si>
    <t>ហួត លក្ខិណា</t>
  </si>
  <si>
    <t>វិន ភារុន</t>
  </si>
  <si>
    <t>អ៊ិន ឆាយ</t>
  </si>
  <si>
    <t>ផែនដីវិទ្យា</t>
  </si>
  <si>
    <t>សុខ ស្រីនាង</t>
  </si>
  <si>
    <t>សាន់ កឿន</t>
  </si>
  <si>
    <t>សួរ ចន្ទ្រា</t>
  </si>
  <si>
    <t>ផល មករា</t>
  </si>
  <si>
    <t>លឿង រក្សា</t>
  </si>
  <si>
    <t>ឃឹម ស្រស់</t>
  </si>
  <si>
    <t>ជៃ ស្រីពៅ</t>
  </si>
  <si>
    <t>ហេង កន្យា</t>
  </si>
  <si>
    <t>ហន ស៊ីដារ៉ា</t>
  </si>
  <si>
    <t>សុន ឌីម៉ង់</t>
  </si>
  <si>
    <t>សុទ្ធ ចរិយា</t>
  </si>
  <si>
    <t>លន ស្រីលក្ខ័</t>
  </si>
  <si>
    <t>បូ កញ្ញា</t>
  </si>
  <si>
    <t>ពៅ ស៊ីនាង</t>
  </si>
  <si>
    <t>ថោង ធីតា</t>
  </si>
  <si>
    <t>មាស ស្រីលក្ខ័</t>
  </si>
  <si>
    <t>យ៉ន សីហា</t>
  </si>
  <si>
    <t>សួន ច័ន្ទសុធី</t>
  </si>
  <si>
    <t>យ៉ាង សុផាន</t>
  </si>
  <si>
    <t>បឋមភូមិ</t>
  </si>
  <si>
    <t>ភា.វៀតណាម</t>
  </si>
  <si>
    <t>ឯក អមរា</t>
  </si>
  <si>
    <t>ចាន់​ ធី</t>
  </si>
  <si>
    <t>ជុំ សុផន</t>
  </si>
  <si>
    <t>ប្រាក់ សារិន</t>
  </si>
  <si>
    <t>ភាសាខ្មែរ</t>
  </si>
  <si>
    <t>ហៀង សេងហៃ</t>
  </si>
  <si>
    <t>ប៉ន ផល្លី</t>
  </si>
  <si>
    <t>ទ្រី យូណៃ</t>
  </si>
  <si>
    <t>យូ ម៉ាលីស</t>
  </si>
  <si>
    <t>ងួន គ្រីន</t>
  </si>
  <si>
    <t>ឃុត បូរាមី</t>
  </si>
  <si>
    <t>សឿន សម្បត្តិ</t>
  </si>
  <si>
    <t>អប់រំកាយ-កីឡា</t>
  </si>
  <si>
    <t>កង សុគង់</t>
  </si>
  <si>
    <t>បច្ចេក-គេហៈ</t>
  </si>
  <si>
    <t>ឌុច វិសាល</t>
  </si>
  <si>
    <t>ចេង ចំរើន</t>
  </si>
  <si>
    <t>ហ៊ូ រ៉ន</t>
  </si>
  <si>
    <t>បារាំង</t>
  </si>
  <si>
    <t>នាង ជំនិត</t>
  </si>
  <si>
    <t>ឆេង សុជាតា</t>
  </si>
  <si>
    <t>គង់ សម្បត្តិ</t>
  </si>
  <si>
    <t>ស៊ិន ម៉ូនីដា</t>
  </si>
  <si>
    <t>ប្រាក់ សុភារៈ</t>
  </si>
  <si>
    <t>ពេជ្រ និស្សិត</t>
  </si>
  <si>
    <t>សុន វាសនា</t>
  </si>
  <si>
    <t>សា ប៊ុនថន</t>
  </si>
  <si>
    <t>ជៀស ឌីនីន</t>
  </si>
  <si>
    <t>សែត រុនស្រី</t>
  </si>
  <si>
    <t>ហេង សានម៉ូណាវី</t>
  </si>
  <si>
    <t>ឈឿន លីឆាយ</t>
  </si>
  <si>
    <t>ជឹង សុខចាន់</t>
  </si>
  <si>
    <t>ហុង សំអឿន</t>
  </si>
  <si>
    <t>សូ វណ្ណៈ</t>
  </si>
  <si>
    <t>យ៉េន ចាន់ណាក់</t>
  </si>
  <si>
    <t>ឆេង សុដានី</t>
  </si>
  <si>
    <t>យ៉ន ណារ៉ា</t>
  </si>
  <si>
    <t>សុង ភ័ស</t>
  </si>
  <si>
    <t>ដុក ណាសួន</t>
  </si>
  <si>
    <t>ផេង លាងឃន</t>
  </si>
  <si>
    <t>សួន ស្រីរ័ត្ន</t>
  </si>
  <si>
    <t>គង់ ម៉ានិន</t>
  </si>
  <si>
    <t>អ៊ុយ វាសនា</t>
  </si>
  <si>
    <t>សុខា សាមឌី</t>
  </si>
  <si>
    <t>ផាត់ ចាន់សុផាន់ណា</t>
  </si>
  <si>
    <t>សួស​ សុខឃៀង</t>
  </si>
  <si>
    <t>កាន ដាវី</t>
  </si>
  <si>
    <t>ផន សុផារិទ្ធ</t>
  </si>
  <si>
    <t>ម៉ង់ ប៊ុនណារិទ្ធ</t>
  </si>
  <si>
    <t>ណុំ ស្រីណែត</t>
  </si>
  <si>
    <t>ពូន រចនា</t>
  </si>
  <si>
    <t>ផន ពុទ្ធាវី</t>
  </si>
  <si>
    <t>សំ ពិសី</t>
  </si>
  <si>
    <t>មៀច ដាវណ្ណ</t>
  </si>
  <si>
    <t>ផល ឌីណា</t>
  </si>
  <si>
    <t>យ៉េន ចាន់នី</t>
  </si>
  <si>
    <t>គ្រូកម្រិតបឋម</t>
  </si>
  <si>
    <t>គ</t>
  </si>
  <si>
    <t>ពឺន ពិដោរ</t>
  </si>
  <si>
    <t>ចេង បុណ្ណវេទ</t>
  </si>
  <si>
    <t>វ៉ាន់ ម៉ាលីស</t>
  </si>
  <si>
    <t>ទឹម ប៊ុនធន</t>
  </si>
  <si>
    <t>បញ្ឈប់បញ្ជីត្រឹមលេខរៀងទី</t>
  </si>
  <si>
    <t>ក្នុងនោះក្របខ័ណ្ឌ</t>
  </si>
  <si>
    <t>នាក់</t>
  </si>
  <si>
    <t xml:space="preserve">​​​​​​​​​​       </t>
  </si>
  <si>
    <t>បានឃើញ និងឯកភាព</t>
  </si>
  <si>
    <t>នាយកសាលា</t>
  </si>
  <si>
    <t xml:space="preserve">  </t>
  </si>
  <si>
    <t>សិស្សសរុបៈ</t>
  </si>
  <si>
    <t>នាក់   ស្រី</t>
  </si>
  <si>
    <t>ប្រធានការិយាល័យអប់រំ យុវជន និងកីឡាស្រុក</t>
  </si>
  <si>
    <t>ថ្នាក់ទី៨: ០៤ ថ្នាក់,</t>
  </si>
  <si>
    <t>ថ្នាក់ទី១១: ០៩ ថ្នាក់,</t>
  </si>
  <si>
    <t>គេហវិទ្យា</t>
  </si>
  <si>
    <t>ភាសាបារាំង</t>
  </si>
  <si>
    <t>ជួ សូរីយា</t>
  </si>
  <si>
    <t>ថ្ងៃសៅរ៍១១កើត ខែ កត្កិក ឆ្នាំ ម្សាញ់ សប្តស័ក.ព.ស.២៥៦៩</t>
  </si>
  <si>
    <t>កំពង់កន្ទួត ថ្ងៃទី០១ ខែ វិច្ឆិកា ឆ្នាំ ២០២៥</t>
  </si>
  <si>
    <t>ថ្ងៃចន្ទ១៣កើត ខែកត្តិក ឆ្នាំម្សាញ់ សប្តស័ក.ព.ស.២៥៦៩</t>
  </si>
  <si>
    <t>ថ្ងៃទី ០៣  ខែ វិច្ឆិកា  ឆ្នាំ ២០២៥</t>
  </si>
  <si>
    <t>៦២៣អនក្រ.តត</t>
  </si>
  <si>
    <t>(016) 200-486</t>
  </si>
  <si>
    <t>៦២៣ អនក្រ.តត</t>
  </si>
  <si>
    <t>(089) 434-563</t>
  </si>
  <si>
    <t>បរិញ្ញាបត្រ</t>
  </si>
  <si>
    <t>(096) 321-9479</t>
  </si>
  <si>
    <t>១៤៩២អយក.ប្រក</t>
  </si>
  <si>
    <t>(010) 474-150</t>
  </si>
  <si>
    <t>(069) 787-264</t>
  </si>
  <si>
    <t>(078) 561-813</t>
  </si>
  <si>
    <t>(081) 606-844</t>
  </si>
  <si>
    <t>(098) 637-355</t>
  </si>
  <si>
    <t>(012) 231-698</t>
  </si>
  <si>
    <t>(069) 454-660</t>
  </si>
  <si>
    <t>(093) 445-401</t>
  </si>
  <si>
    <t>ថ្នាក់ទី៧: ០៥ ថ្នាក់,</t>
  </si>
  <si>
    <t>ថ្នាក់ទី១០: ១១ ថ្នាក់,</t>
  </si>
  <si>
    <t>ថ្នាក់ទី១២: ០៩ ថ្នាក់,</t>
  </si>
  <si>
    <t>(មួយរយដប់ប្រាំបួន)</t>
  </si>
  <si>
    <t>ថ្នាក់ទី៩: ០៤ ថ្នាក់,</t>
  </si>
  <si>
    <t>ឯកទេស</t>
  </si>
  <si>
    <t>វិទ្យាសាស្ដ្រអប់រំ</t>
  </si>
  <si>
    <t>គ្រប់គ្រងសាលារៀន</t>
  </si>
  <si>
    <t>រដ្ឋបាលសាធារណៈ</t>
  </si>
  <si>
    <t>គ្រប់គ្រងអប់រំ</t>
  </si>
  <si>
    <t>អក្សរសាស្ត្រខ្មែរ</t>
  </si>
  <si>
    <t>ធានាគារនិងហិរញ្ញវត្ថុ</t>
  </si>
  <si>
    <t>វិទ្យាសាស្រ្តអប់រំ</t>
  </si>
  <si>
    <t>គណិត</t>
  </si>
  <si>
    <t>អក្សរសាស្ដ្រ</t>
  </si>
  <si>
    <t>វេជ្ជសាស្រ្តទូទៅ</t>
  </si>
  <si>
    <t>គ្រប់គ្រងហិរញ្ញវត្ថុ</t>
  </si>
  <si>
    <t>អក្សរសាស្រ្តខ្មែរ</t>
  </si>
  <si>
    <t>រដ្ខបាលសាធារណ:</t>
  </si>
  <si>
    <t>អក្សរសាស្រ្តអង់គ្លេស</t>
  </si>
  <si>
    <t>សីលធម៌ ពលរដ្ឋវិជ្ជា</t>
  </si>
  <si>
    <t>អប់រំភាសាអង់គ្លេស (MA in TESOL)</t>
  </si>
  <si>
    <t>ទស្សនវិជ្ជា</t>
  </si>
  <si>
    <t>កុំព្យូទ័រ</t>
  </si>
  <si>
    <t>ការគ្រប់គ្រងចម្រុះសម្រាប់ការអភិវឌ្ឍកសិកម្ម និងជនបទ</t>
  </si>
  <si>
    <t>អក្សរសាស្រ្ត</t>
  </si>
  <si>
    <t>គណិតវិទ្យាអនុវត្តន៍</t>
  </si>
  <si>
    <t>បរិ អប់រំ ជំនាញជីវវិទ្យា</t>
  </si>
  <si>
    <t>អប់រំកាយ.កីឡា</t>
  </si>
  <si>
    <t>អបរំកាយ</t>
  </si>
  <si>
    <t>អក្សរសាស្ដ្រខ្មែរ</t>
  </si>
  <si>
    <t>អក្សរសាស្ត្រអង់គ្លេស</t>
  </si>
  <si>
    <t>អប់រំប្រវត្តិវិទ្យា</t>
  </si>
  <si>
    <t>វិទ្យាសាស្រ្ដអប់រំ</t>
  </si>
  <si>
    <t>រូប+គីមី</t>
  </si>
  <si>
    <t>ប្រវិត្តវិទ្យា</t>
  </si>
  <si>
    <t>អប់រំកាយ និងកីឡា</t>
  </si>
  <si>
    <t>អប់រំកាយ​ និងកីឡា</t>
  </si>
  <si>
    <t>អប់រំកាយនិងកីឡា</t>
  </si>
  <si>
    <t>អប់រំកាយ​ និង​កីឡា</t>
  </si>
  <si>
    <t>អប់រំកាយនឹងកីឡា</t>
  </si>
  <si>
    <t>បញ្ជីគ្រប់គ្រងបុគ្គលិក មន្ត្រីរាជការ ឆ្នាំសិក្សា ២០២៦-២០២៧</t>
  </si>
  <si>
    <t>សញ្ញាបត្រ</t>
  </si>
  <si>
    <t>មុខវិជ្ជា
ឯកទេសទី១</t>
  </si>
  <si>
    <t>មុខវិជ្ជា
ឯកទេសទី២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</si>
</sst>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dd\-mm\-yy"/>
    <numFmt numFmtId="165" formatCode="0\ &quot;នាក់&quot;"/>
    <numFmt numFmtId="166" formatCode="[$-12000425]0"/>
    <numFmt numFmtId="167" formatCode="[&lt;99999999]\(0##\)\ ###\-###;\(0##\)\ ###\-####"/>
    <numFmt numFmtId="168" formatCode="&quot;ស្រី&quot;\ 0\ &quot;នាក់&quot;"/>
    <numFmt numFmtId="169" formatCode="\ 0\ &quot;នាក់&quot;"/>
    <numFmt numFmtId="170" formatCode="&quot;កៈ &quot;\ 00\ &quot;នាក់ ស្រី&quot;"/>
    <numFmt numFmtId="171" formatCode="&quot;ខៈ&quot;\ 00\ \ន\ា\ក\់\ \ស\្\រ\ី"/>
    <numFmt numFmtId="172" formatCode="&quot;គៈ&quot;\ 00\ \ន\ា\ក\់\ \ស\្\រ\ី"/>
    <numFmt numFmtId="173" formatCode="00"/>
    <numFmt numFmtId="174" formatCode="&quot;កៈ &quot;00\ &quot;នាក់ ស្រី&quot;"/>
  </numFmts>
  <fonts count="21" x14ac:knownFonts="1"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11"/>
      <name val="Calibri"/>
      <family val="2"/>
      <scheme val="minor"/>
    </font>
    <font>
      <sz val="10.5"/>
      <name val="Khmer OS Muol Light"/>
    </font>
    <font>
      <sz val="10"/>
      <name val="Khmer OS Muol Light"/>
    </font>
    <font>
      <sz val="11"/>
      <name val="Khmer OS Muol Light"/>
    </font>
    <font>
      <sz val="8"/>
      <name val="Khmer OS Muol Light"/>
    </font>
    <font>
      <sz val="10"/>
      <name val="Khmer OS"/>
    </font>
    <font>
      <sz val="10"/>
      <name val="Calibri"/>
      <family val="2"/>
      <scheme val="minor"/>
    </font>
    <font>
      <sz val="11"/>
      <name val="Khmer OS Siemreap"/>
    </font>
    <font>
      <sz val="11"/>
      <color rgb="FFFF0000"/>
      <name val="Calibri"/>
      <family val="2"/>
      <scheme val="minor"/>
    </font>
    <font>
      <sz val="10"/>
      <color rgb="FFFF0000"/>
      <name val="Khmer OS"/>
    </font>
    <font>
      <sz val="8"/>
      <name val="Calibri"/>
      <family val="2"/>
      <scheme val="minor"/>
    </font>
    <font>
      <sz val="9"/>
      <name val="Khmer OS Siemreap"/>
    </font>
    <font>
      <sz val="10"/>
      <name val="Khmer OS Siemreap"/>
    </font>
    <font>
      <sz val="11"/>
      <color rgb="FFFF0000"/>
      <name val="Khmer OS Siemreap"/>
    </font>
    <font>
      <sz val="10"/>
      <color rgb="FFFF0000"/>
      <name val="Khmer OS Siemreap"/>
    </font>
    <font>
      <sz val="10"/>
      <color rgb="FFFF0000"/>
      <name val="Calibri"/>
      <family val="2"/>
      <scheme val="minor"/>
    </font>
    <font>
      <b/>
      <sz val="12"/>
      <color theme="1"/>
      <name val="Khmer Kep"/>
    </font>
    <font>
      <sz val="12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0" fillId="0" borderId="0"/>
  </cellStyleXfs>
  <cellXfs count="84">
    <xf numFmtId="0" fontId="0" fillId="0" borderId="0" xfId="0"/>
    <xf numFmtId="0" fontId="2" fillId="0" borderId="0" xfId="0" applyFont="1"/>
    <xf numFmtId="0" fontId="7" fillId="0" borderId="0" xfId="0" applyFont="1" applyAlignment="1">
      <alignment vertical="top"/>
    </xf>
    <xf numFmtId="164" fontId="9" fillId="0" borderId="0" xfId="0" applyNumberFormat="1" applyFont="1" applyAlignment="1">
      <alignment vertical="top"/>
    </xf>
    <xf numFmtId="0" fontId="1" fillId="0" borderId="0" xfId="0" applyFont="1"/>
    <xf numFmtId="164" fontId="6" fillId="0" borderId="2" xfId="0" applyNumberFormat="1" applyFont="1" applyBorder="1" applyAlignment="1">
      <alignment horizontal="center" vertical="center" wrapText="1"/>
    </xf>
    <xf numFmtId="0" fontId="10" fillId="0" borderId="0" xfId="0" applyFont="1"/>
    <xf numFmtId="172" fontId="11" fillId="0" borderId="0" xfId="0" applyNumberFormat="1" applyFont="1" applyAlignment="1">
      <alignment horizontal="center" vertical="center"/>
    </xf>
    <xf numFmtId="173" fontId="11" fillId="0" borderId="0" xfId="0" applyNumberFormat="1" applyFont="1" applyAlignment="1">
      <alignment horizontal="left" vertical="center" shrinkToFit="1"/>
    </xf>
    <xf numFmtId="0" fontId="11" fillId="0" borderId="0" xfId="0" applyFont="1" applyAlignment="1">
      <alignment horizontal="left" vertical="center"/>
    </xf>
    <xf numFmtId="169" fontId="14" fillId="0" borderId="7" xfId="0" applyNumberFormat="1" applyFont="1" applyBorder="1" applyAlignment="1">
      <alignment horizontal="left" vertical="center"/>
    </xf>
    <xf numFmtId="168" fontId="14" fillId="0" borderId="0" xfId="0" applyNumberFormat="1" applyFont="1" applyAlignment="1">
      <alignment horizontal="left" vertical="center"/>
    </xf>
    <xf numFmtId="0" fontId="9" fillId="0" borderId="0" xfId="0" applyFont="1"/>
    <xf numFmtId="0" fontId="15" fillId="0" borderId="0" xfId="0" applyFont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14" fillId="0" borderId="0" xfId="0" applyFont="1" applyAlignment="1">
      <alignment vertical="top"/>
    </xf>
    <xf numFmtId="0" fontId="16" fillId="0" borderId="0" xfId="0" applyFont="1" applyAlignment="1">
      <alignment vertical="top"/>
    </xf>
    <xf numFmtId="171" fontId="14" fillId="0" borderId="0" xfId="0" applyNumberFormat="1" applyFont="1" applyAlignment="1">
      <alignment horizontal="left" vertical="center"/>
    </xf>
    <xf numFmtId="172" fontId="14" fillId="0" borderId="0" xfId="0" applyNumberFormat="1" applyFont="1" applyAlignment="1">
      <alignment horizontal="left" vertical="center"/>
    </xf>
    <xf numFmtId="164" fontId="15" fillId="0" borderId="0" xfId="0" applyNumberFormat="1" applyFont="1" applyAlignment="1">
      <alignment horizontal="center" vertical="top"/>
    </xf>
    <xf numFmtId="164" fontId="9" fillId="0" borderId="0" xfId="0" applyNumberFormat="1" applyFont="1" applyAlignment="1">
      <alignment horizontal="center" vertical="top"/>
    </xf>
    <xf numFmtId="164" fontId="16" fillId="0" borderId="0" xfId="0" applyNumberFormat="1" applyFont="1" applyAlignment="1">
      <alignment horizontal="center" vertical="top"/>
    </xf>
    <xf numFmtId="170" fontId="16" fillId="0" borderId="0" xfId="0" applyNumberFormat="1" applyFont="1" applyAlignment="1">
      <alignment horizontal="center" vertical="center"/>
    </xf>
    <xf numFmtId="173" fontId="16" fillId="0" borderId="0" xfId="0" applyNumberFormat="1" applyFont="1" applyAlignment="1">
      <alignment horizontal="left" vertical="center" shrinkToFit="1"/>
    </xf>
    <xf numFmtId="0" fontId="16" fillId="0" borderId="0" xfId="0" applyFont="1" applyAlignment="1">
      <alignment horizontal="left" vertical="center"/>
    </xf>
    <xf numFmtId="171" fontId="16" fillId="0" borderId="0" xfId="0" applyNumberFormat="1" applyFont="1" applyAlignment="1">
      <alignment horizontal="center" vertical="center"/>
    </xf>
    <xf numFmtId="173" fontId="14" fillId="0" borderId="0" xfId="0" applyNumberFormat="1" applyFont="1" applyAlignment="1">
      <alignment horizontal="center" vertical="center" shrinkToFit="1"/>
    </xf>
    <xf numFmtId="0" fontId="13" fillId="0" borderId="0" xfId="0" applyFont="1" applyAlignment="1">
      <alignment horizontal="center" vertical="center"/>
    </xf>
    <xf numFmtId="173" fontId="14" fillId="0" borderId="0" xfId="0" applyNumberFormat="1" applyFont="1" applyAlignment="1">
      <alignment vertical="center"/>
    </xf>
    <xf numFmtId="0" fontId="14" fillId="0" borderId="0" xfId="0" applyFont="1" applyAlignment="1">
      <alignment vertical="center"/>
    </xf>
    <xf numFmtId="0" fontId="14" fillId="0" borderId="2" xfId="0" applyFont="1" applyBorder="1"/>
    <xf numFmtId="0" fontId="14" fillId="0" borderId="2" xfId="0" applyFont="1" applyBorder="1" applyAlignment="1">
      <alignment horizontal="center"/>
    </xf>
    <xf numFmtId="174" fontId="14" fillId="0" borderId="0" xfId="0" applyNumberFormat="1" applyFont="1" applyAlignment="1">
      <alignment horizontal="left" vertical="center"/>
    </xf>
    <xf numFmtId="0" fontId="13" fillId="0" borderId="0" xfId="0" applyFont="1" applyAlignment="1">
      <alignment horizontal="right" vertical="top"/>
    </xf>
    <xf numFmtId="0" fontId="13" fillId="0" borderId="0" xfId="0" applyFont="1" applyAlignment="1">
      <alignment vertical="top"/>
    </xf>
    <xf numFmtId="165" fontId="13" fillId="0" borderId="0" xfId="0" applyNumberFormat="1" applyFont="1" applyAlignment="1">
      <alignment horizontal="left" vertical="top"/>
    </xf>
    <xf numFmtId="1" fontId="14" fillId="0" borderId="2" xfId="0" applyNumberFormat="1" applyFont="1" applyBorder="1" applyAlignment="1">
      <alignment horizontal="center"/>
    </xf>
    <xf numFmtId="164" fontId="14" fillId="0" borderId="2" xfId="0" applyNumberFormat="1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166" fontId="14" fillId="0" borderId="8" xfId="0" applyNumberFormat="1" applyFont="1" applyBorder="1" applyAlignment="1">
      <alignment horizontal="center"/>
    </xf>
    <xf numFmtId="166" fontId="14" fillId="0" borderId="4" xfId="0" applyNumberFormat="1" applyFont="1" applyBorder="1" applyAlignment="1">
      <alignment horizontal="center"/>
    </xf>
    <xf numFmtId="14" fontId="14" fillId="0" borderId="2" xfId="0" applyNumberFormat="1" applyFont="1" applyBorder="1" applyAlignment="1">
      <alignment horizontal="center"/>
    </xf>
    <xf numFmtId="0" fontId="14" fillId="0" borderId="2" xfId="0" applyFont="1" applyBorder="1" applyAlignment="1">
      <alignment horizontal="center" shrinkToFit="1"/>
    </xf>
    <xf numFmtId="167" fontId="14" fillId="0" borderId="2" xfId="0" applyNumberFormat="1" applyFont="1" applyBorder="1" applyAlignment="1">
      <alignment horizontal="left"/>
    </xf>
    <xf numFmtId="0" fontId="8" fillId="0" borderId="0" xfId="0" applyFont="1"/>
    <xf numFmtId="0" fontId="14" fillId="0" borderId="2" xfId="0" applyFont="1" applyBorder="1" applyAlignment="1">
      <alignment horizontal="left"/>
    </xf>
    <xf numFmtId="0" fontId="17" fillId="0" borderId="0" xfId="0" applyFont="1"/>
    <xf numFmtId="1" fontId="14" fillId="0" borderId="2" xfId="0" applyNumberFormat="1" applyFont="1" applyBorder="1" applyAlignment="1">
      <alignment horizontal="left"/>
    </xf>
    <xf numFmtId="0" fontId="14" fillId="0" borderId="2" xfId="0" applyFont="1" applyBorder="1" applyAlignment="1">
      <alignment shrinkToFit="1"/>
    </xf>
    <xf numFmtId="0" fontId="18" fillId="0" borderId="0" xfId="0" applyFont="1" applyAlignment="1">
      <alignment vertical="top"/>
    </xf>
    <xf numFmtId="0" fontId="19" fillId="0" borderId="0" xfId="0" applyFont="1"/>
    <xf numFmtId="0" fontId="14" fillId="0" borderId="0" xfId="0" applyFont="1" applyAlignment="1">
      <alignment horizontal="center" vertical="center"/>
    </xf>
    <xf numFmtId="164" fontId="14" fillId="0" borderId="0" xfId="0" applyNumberFormat="1" applyFont="1" applyAlignment="1">
      <alignment horizontal="center" vertical="top"/>
    </xf>
    <xf numFmtId="14" fontId="13" fillId="0" borderId="2" xfId="0" applyNumberFormat="1" applyFont="1" applyBorder="1" applyAlignment="1">
      <alignment horizontal="center"/>
    </xf>
    <xf numFmtId="0" fontId="14" fillId="0" borderId="7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center"/>
    </xf>
    <xf numFmtId="164" fontId="14" fillId="0" borderId="0" xfId="0" applyNumberFormat="1" applyFont="1" applyAlignment="1">
      <alignment horizontal="center" vertical="top"/>
    </xf>
    <xf numFmtId="164" fontId="4" fillId="0" borderId="0" xfId="0" applyNumberFormat="1" applyFont="1" applyAlignment="1">
      <alignment horizontal="center" vertical="top"/>
    </xf>
    <xf numFmtId="0" fontId="13" fillId="0" borderId="0" xfId="0" applyFont="1" applyAlignment="1">
      <alignment horizontal="left" vertical="top"/>
    </xf>
    <xf numFmtId="0" fontId="14" fillId="0" borderId="7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top"/>
    </xf>
    <xf numFmtId="0" fontId="1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164" fontId="6" fillId="0" borderId="5" xfId="0" applyNumberFormat="1" applyFont="1" applyBorder="1" applyAlignment="1">
      <alignment horizontal="center" vertical="center" wrapText="1"/>
    </xf>
    <xf numFmtId="164" fontId="6" fillId="0" borderId="6" xfId="0" applyNumberFormat="1" applyFont="1" applyBorder="1" applyAlignment="1">
      <alignment horizontal="center" vertical="center" wrapText="1"/>
    </xf>
    <xf numFmtId="164" fontId="6" fillId="0" borderId="9" xfId="0" applyNumberFormat="1" applyFont="1" applyBorder="1" applyAlignment="1">
      <alignment horizontal="center" vertical="center" wrapText="1"/>
    </xf>
    <xf numFmtId="164" fontId="6" fillId="0" borderId="7" xfId="0" applyNumberFormat="1" applyFont="1" applyBorder="1" applyAlignment="1">
      <alignment horizontal="center" vertical="center" wrapText="1"/>
    </xf>
    <xf numFmtId="164" fontId="6" fillId="0" borderId="10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4" fillId="0" borderId="0" xfId="0" applyFont="1" applyAlignment="1">
      <alignment horizontal="right" vertical="center"/>
    </xf>
    <xf numFmtId="0" fontId="14" fillId="0" borderId="7" xfId="0" applyFont="1" applyBorder="1" applyAlignment="1">
      <alignment horizontal="center" vertical="top"/>
    </xf>
    <xf numFmtId="164" fontId="6" fillId="0" borderId="3" xfId="0" applyNumberFormat="1" applyFont="1" applyBorder="1" applyAlignment="1">
      <alignment horizontal="center" vertical="center" wrapText="1"/>
    </xf>
    <xf numFmtId="164" fontId="6" fillId="0" borderId="8" xfId="0" applyNumberFormat="1" applyFont="1" applyBorder="1" applyAlignment="1">
      <alignment horizontal="center" vertical="center" wrapText="1"/>
    </xf>
    <xf numFmtId="164" fontId="6" fillId="0" borderId="4" xfId="0" applyNumberFormat="1" applyFont="1" applyBorder="1" applyAlignment="1">
      <alignment horizontal="center" vertical="center" wrapText="1"/>
    </xf>
  </cellXfs>
  <cellStyles count="2">
    <cellStyle name="Normal" xfId="0" builtinId="0"/>
    <cellStyle name="Normal 3" xfId="1" xr:uid="{A3F9A01E-3945-4D4A-9671-032CBDCF39E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rgb="FF0070C0"/>
    <pageSetUpPr fitToPage="1"/>
  </sheetPr>
  <dimension ref="A1:V140"/>
  <sheetViews>
    <sheetView tabSelected="1" zoomScaleNormal="100" zoomScaleSheetLayoutView="100" workbookViewId="0">
      <selection activeCell="I14" sqref="I14"/>
    </sheetView>
  </sheetViews>
  <sheetFormatPr defaultColWidth="9.109375" defaultRowHeight="14.4" x14ac:dyDescent="0.3"/>
  <cols>
    <col min="1" max="1" width="4.44140625" style="1" bestFit="1" customWidth="1"/>
    <col min="2" max="2" width="12.109375" style="1" bestFit="1" customWidth="1"/>
    <col min="3" max="3" width="16.44140625" style="1" bestFit="1" customWidth="1"/>
    <col min="4" max="4" width="4.33203125" style="1" bestFit="1" customWidth="1"/>
    <col min="5" max="5" width="8.88671875" style="1" bestFit="1" customWidth="1"/>
    <col min="6" max="6" width="13.21875" style="1" customWidth="1"/>
    <col min="7" max="7" width="15.6640625" style="1" customWidth="1"/>
    <col min="8" max="8" width="12.33203125" style="1" customWidth="1"/>
    <col min="9" max="9" width="11.33203125" style="1" customWidth="1"/>
    <col min="10" max="10" width="11.109375" style="1" customWidth="1"/>
    <col min="11" max="11" width="13.33203125" style="1" bestFit="1" customWidth="1"/>
    <col min="12" max="12" width="11.5546875" style="1" customWidth="1"/>
    <col min="13" max="13" width="9.33203125" style="6" bestFit="1" customWidth="1"/>
    <col min="14" max="16" width="4.33203125" style="6" customWidth="1"/>
    <col min="17" max="17" width="10.44140625" style="6" bestFit="1" customWidth="1"/>
    <col min="18" max="18" width="18.33203125" style="6" customWidth="1"/>
    <col min="19" max="19" width="9.44140625" style="6" customWidth="1"/>
    <col min="20" max="20" width="15.33203125" style="1" bestFit="1" customWidth="1"/>
    <col min="21" max="16384" width="9.109375" style="1"/>
  </cols>
  <sheetData>
    <row r="1" spans="1:22" ht="22.8" x14ac:dyDescent="0.3">
      <c r="L1" s="77" t="s">
        <v>0</v>
      </c>
      <c r="M1" s="77"/>
      <c r="N1" s="77"/>
      <c r="O1" s="77"/>
      <c r="P1" s="77"/>
      <c r="Q1" s="77"/>
      <c r="R1" s="77"/>
      <c r="S1" s="77"/>
      <c r="T1" s="77"/>
    </row>
    <row r="2" spans="1:22" ht="21" customHeight="1" x14ac:dyDescent="0.3">
      <c r="A2" s="65" t="s">
        <v>1</v>
      </c>
      <c r="B2" s="65"/>
      <c r="C2" s="65"/>
      <c r="D2" s="65"/>
      <c r="L2" s="77" t="s">
        <v>2</v>
      </c>
      <c r="M2" s="77"/>
      <c r="N2" s="77"/>
      <c r="O2" s="77"/>
      <c r="P2" s="77"/>
      <c r="Q2" s="77"/>
      <c r="R2" s="77"/>
      <c r="S2" s="77"/>
      <c r="T2" s="77"/>
    </row>
    <row r="3" spans="1:22" ht="21" customHeight="1" x14ac:dyDescent="0.3">
      <c r="A3" s="65" t="s">
        <v>3</v>
      </c>
      <c r="B3" s="65"/>
      <c r="C3" s="65"/>
      <c r="D3" s="65"/>
    </row>
    <row r="4" spans="1:22" ht="21" customHeight="1" x14ac:dyDescent="0.3">
      <c r="A4" s="65" t="s">
        <v>4</v>
      </c>
      <c r="B4" s="65"/>
      <c r="C4" s="65"/>
      <c r="D4" s="65"/>
    </row>
    <row r="5" spans="1:22" ht="22.8" x14ac:dyDescent="0.3">
      <c r="A5" s="78" t="s">
        <v>265</v>
      </c>
      <c r="B5" s="78"/>
      <c r="C5" s="78"/>
      <c r="D5" s="78"/>
      <c r="E5" s="78"/>
      <c r="F5" s="78"/>
      <c r="G5" s="78"/>
      <c r="H5" s="78"/>
      <c r="I5" s="78"/>
      <c r="J5" s="78"/>
      <c r="K5" s="78"/>
      <c r="L5" s="78"/>
      <c r="M5" s="78"/>
      <c r="N5" s="78"/>
      <c r="O5" s="78"/>
      <c r="P5" s="78"/>
      <c r="Q5" s="78"/>
      <c r="R5" s="78"/>
      <c r="S5" s="78"/>
      <c r="T5" s="78"/>
    </row>
    <row r="6" spans="1:22" s="4" customFormat="1" ht="27.75" customHeight="1" x14ac:dyDescent="0.25">
      <c r="A6" s="66" t="s">
        <v>5</v>
      </c>
      <c r="B6" s="67" t="s">
        <v>6</v>
      </c>
      <c r="C6" s="68" t="s">
        <v>7</v>
      </c>
      <c r="D6" s="69" t="s">
        <v>8</v>
      </c>
      <c r="E6" s="72" t="s">
        <v>9</v>
      </c>
      <c r="F6" s="66" t="s">
        <v>10</v>
      </c>
      <c r="G6" s="66"/>
      <c r="H6" s="70" t="s">
        <v>11</v>
      </c>
      <c r="I6" s="72" t="s">
        <v>12</v>
      </c>
      <c r="J6" s="72" t="s">
        <v>13</v>
      </c>
      <c r="K6" s="70" t="s">
        <v>267</v>
      </c>
      <c r="L6" s="70" t="s">
        <v>268</v>
      </c>
      <c r="M6" s="72" t="s">
        <v>14</v>
      </c>
      <c r="N6" s="74" t="s">
        <v>15</v>
      </c>
      <c r="O6" s="75"/>
      <c r="P6" s="75"/>
      <c r="Q6" s="75"/>
      <c r="R6" s="75"/>
      <c r="S6" s="76"/>
      <c r="T6" s="72" t="s">
        <v>16</v>
      </c>
    </row>
    <row r="7" spans="1:22" s="4" customFormat="1" ht="27.75" customHeight="1" x14ac:dyDescent="0.25">
      <c r="A7" s="66"/>
      <c r="B7" s="67"/>
      <c r="C7" s="66"/>
      <c r="D7" s="69"/>
      <c r="E7" s="73"/>
      <c r="F7" s="57" t="s">
        <v>266</v>
      </c>
      <c r="G7" s="57" t="s">
        <v>229</v>
      </c>
      <c r="H7" s="71"/>
      <c r="I7" s="73"/>
      <c r="J7" s="73"/>
      <c r="K7" s="71"/>
      <c r="L7" s="71"/>
      <c r="M7" s="73"/>
      <c r="N7" s="81" t="s">
        <v>17</v>
      </c>
      <c r="O7" s="82"/>
      <c r="P7" s="83"/>
      <c r="Q7" s="5" t="s">
        <v>18</v>
      </c>
      <c r="R7" s="5" t="s">
        <v>19</v>
      </c>
      <c r="S7" s="5" t="s">
        <v>20</v>
      </c>
      <c r="T7" s="73"/>
    </row>
    <row r="8" spans="1:22" s="46" customFormat="1" ht="21" customHeight="1" x14ac:dyDescent="0.75">
      <c r="A8" s="33">
        <v>1</v>
      </c>
      <c r="B8" s="38">
        <v>1720800778</v>
      </c>
      <c r="C8" s="32" t="s">
        <v>21</v>
      </c>
      <c r="D8" s="33" t="s">
        <v>22</v>
      </c>
      <c r="E8" s="39">
        <v>26577</v>
      </c>
      <c r="F8" s="33" t="s">
        <v>23</v>
      </c>
      <c r="G8" s="33" t="s">
        <v>230</v>
      </c>
      <c r="H8" s="33" t="s">
        <v>24</v>
      </c>
      <c r="I8" s="39">
        <v>35370</v>
      </c>
      <c r="J8" s="39">
        <v>35735.25</v>
      </c>
      <c r="K8" s="33" t="s">
        <v>25</v>
      </c>
      <c r="L8" s="33"/>
      <c r="M8" s="39" t="s">
        <v>26</v>
      </c>
      <c r="N8" s="40" t="s">
        <v>27</v>
      </c>
      <c r="O8" s="41">
        <v>1</v>
      </c>
      <c r="P8" s="42">
        <v>3</v>
      </c>
      <c r="Q8" s="43">
        <v>45395</v>
      </c>
      <c r="R8" s="55" t="s">
        <v>28</v>
      </c>
      <c r="S8" s="44">
        <v>1488</v>
      </c>
      <c r="T8" s="45">
        <v>89995947</v>
      </c>
    </row>
    <row r="9" spans="1:22" s="46" customFormat="1" ht="21" customHeight="1" x14ac:dyDescent="0.75">
      <c r="A9" s="33">
        <f>A8+1</f>
        <v>2</v>
      </c>
      <c r="B9" s="38">
        <v>2690800440</v>
      </c>
      <c r="C9" s="32" t="s">
        <v>29</v>
      </c>
      <c r="D9" s="33" t="s">
        <v>30</v>
      </c>
      <c r="E9" s="39">
        <v>25481</v>
      </c>
      <c r="F9" s="33" t="s">
        <v>31</v>
      </c>
      <c r="G9" s="33" t="s">
        <v>32</v>
      </c>
      <c r="H9" s="33" t="s">
        <v>24</v>
      </c>
      <c r="I9" s="39">
        <v>33500</v>
      </c>
      <c r="J9" s="39">
        <v>33866</v>
      </c>
      <c r="K9" s="33" t="s">
        <v>32</v>
      </c>
      <c r="L9" s="33"/>
      <c r="M9" s="39" t="s">
        <v>33</v>
      </c>
      <c r="N9" s="40" t="s">
        <v>27</v>
      </c>
      <c r="O9" s="41">
        <v>1</v>
      </c>
      <c r="P9" s="42">
        <v>3</v>
      </c>
      <c r="Q9" s="43">
        <v>45395</v>
      </c>
      <c r="R9" s="55" t="s">
        <v>28</v>
      </c>
      <c r="S9" s="44">
        <v>1937</v>
      </c>
      <c r="T9" s="45">
        <v>77655430</v>
      </c>
    </row>
    <row r="10" spans="1:22" s="46" customFormat="1" ht="21" customHeight="1" x14ac:dyDescent="0.75">
      <c r="A10" s="33">
        <f t="shared" ref="A10:A72" si="0">A9+1</f>
        <v>3</v>
      </c>
      <c r="B10" s="38">
        <v>1720800777</v>
      </c>
      <c r="C10" s="32" t="s">
        <v>34</v>
      </c>
      <c r="D10" s="33" t="s">
        <v>22</v>
      </c>
      <c r="E10" s="39">
        <v>26391</v>
      </c>
      <c r="F10" s="33" t="s">
        <v>31</v>
      </c>
      <c r="G10" s="33" t="s">
        <v>35</v>
      </c>
      <c r="H10" s="33" t="s">
        <v>24</v>
      </c>
      <c r="I10" s="39">
        <v>35370</v>
      </c>
      <c r="J10" s="39">
        <v>35735.25</v>
      </c>
      <c r="K10" s="33" t="s">
        <v>35</v>
      </c>
      <c r="L10" s="33"/>
      <c r="M10" s="39" t="s">
        <v>36</v>
      </c>
      <c r="N10" s="40" t="s">
        <v>27</v>
      </c>
      <c r="O10" s="41">
        <v>1</v>
      </c>
      <c r="P10" s="42">
        <v>4</v>
      </c>
      <c r="Q10" s="43">
        <v>45395</v>
      </c>
      <c r="R10" s="55" t="s">
        <v>28</v>
      </c>
      <c r="S10" s="44">
        <v>3070</v>
      </c>
      <c r="T10" s="45">
        <v>964607575</v>
      </c>
    </row>
    <row r="11" spans="1:22" s="46" customFormat="1" ht="21" customHeight="1" x14ac:dyDescent="0.75">
      <c r="A11" s="33">
        <f t="shared" si="0"/>
        <v>4</v>
      </c>
      <c r="B11" s="38">
        <v>2800800246</v>
      </c>
      <c r="C11" s="32" t="s">
        <v>37</v>
      </c>
      <c r="D11" s="33" t="s">
        <v>30</v>
      </c>
      <c r="E11" s="39">
        <v>29331</v>
      </c>
      <c r="F11" s="33" t="s">
        <v>31</v>
      </c>
      <c r="G11" s="33" t="s">
        <v>231</v>
      </c>
      <c r="H11" s="33" t="s">
        <v>24</v>
      </c>
      <c r="I11" s="39">
        <v>37895</v>
      </c>
      <c r="J11" s="39">
        <v>38261</v>
      </c>
      <c r="K11" s="33" t="s">
        <v>38</v>
      </c>
      <c r="L11" s="33" t="s">
        <v>35</v>
      </c>
      <c r="M11" s="39" t="s">
        <v>33</v>
      </c>
      <c r="N11" s="40" t="s">
        <v>27</v>
      </c>
      <c r="O11" s="41">
        <v>1</v>
      </c>
      <c r="P11" s="42">
        <v>6</v>
      </c>
      <c r="Q11" s="43">
        <v>45395</v>
      </c>
      <c r="R11" s="55" t="s">
        <v>28</v>
      </c>
      <c r="S11" s="44">
        <v>5541</v>
      </c>
      <c r="T11" s="45">
        <v>11709524</v>
      </c>
      <c r="V11" s="46" t="s">
        <v>39</v>
      </c>
    </row>
    <row r="12" spans="1:22" s="46" customFormat="1" ht="21" customHeight="1" x14ac:dyDescent="0.75">
      <c r="A12" s="33">
        <f t="shared" si="0"/>
        <v>5</v>
      </c>
      <c r="B12" s="38">
        <v>1830800129</v>
      </c>
      <c r="C12" s="32" t="s">
        <v>40</v>
      </c>
      <c r="D12" s="33" t="s">
        <v>22</v>
      </c>
      <c r="E12" s="39">
        <v>30509</v>
      </c>
      <c r="F12" s="33" t="s">
        <v>23</v>
      </c>
      <c r="G12" s="33" t="s">
        <v>232</v>
      </c>
      <c r="H12" s="33" t="s">
        <v>41</v>
      </c>
      <c r="I12" s="39">
        <v>38261</v>
      </c>
      <c r="J12" s="39">
        <v>38626.25</v>
      </c>
      <c r="K12" s="33" t="s">
        <v>42</v>
      </c>
      <c r="L12" s="33" t="s">
        <v>38</v>
      </c>
      <c r="M12" s="39" t="s">
        <v>36</v>
      </c>
      <c r="N12" s="40" t="s">
        <v>43</v>
      </c>
      <c r="O12" s="41">
        <v>2</v>
      </c>
      <c r="P12" s="42">
        <v>2</v>
      </c>
      <c r="Q12" s="43">
        <v>45395</v>
      </c>
      <c r="R12" s="55" t="s">
        <v>44</v>
      </c>
      <c r="S12" s="44">
        <v>12402</v>
      </c>
      <c r="T12" s="45">
        <v>12986261</v>
      </c>
    </row>
    <row r="13" spans="1:22" s="46" customFormat="1" ht="21" customHeight="1" x14ac:dyDescent="0.75">
      <c r="A13" s="33">
        <f t="shared" si="0"/>
        <v>6</v>
      </c>
      <c r="B13" s="38">
        <v>1860100072</v>
      </c>
      <c r="C13" s="32" t="s">
        <v>45</v>
      </c>
      <c r="D13" s="33" t="s">
        <v>22</v>
      </c>
      <c r="E13" s="39">
        <v>31590</v>
      </c>
      <c r="F13" s="33" t="s">
        <v>23</v>
      </c>
      <c r="G13" s="33" t="s">
        <v>233</v>
      </c>
      <c r="H13" s="33" t="s">
        <v>24</v>
      </c>
      <c r="I13" s="39">
        <v>40817</v>
      </c>
      <c r="J13" s="39">
        <v>41183</v>
      </c>
      <c r="K13" s="33" t="s">
        <v>46</v>
      </c>
      <c r="L13" s="33" t="s">
        <v>47</v>
      </c>
      <c r="M13" s="39" t="s">
        <v>48</v>
      </c>
      <c r="N13" s="40" t="s">
        <v>27</v>
      </c>
      <c r="O13" s="41">
        <v>2</v>
      </c>
      <c r="P13" s="42">
        <v>2</v>
      </c>
      <c r="Q13" s="43">
        <v>45395</v>
      </c>
      <c r="R13" s="55" t="s">
        <v>49</v>
      </c>
      <c r="S13" s="44">
        <v>1628</v>
      </c>
      <c r="T13" s="45">
        <v>98522522</v>
      </c>
    </row>
    <row r="14" spans="1:22" s="46" customFormat="1" ht="21" customHeight="1" x14ac:dyDescent="0.75">
      <c r="A14" s="33">
        <f t="shared" si="0"/>
        <v>7</v>
      </c>
      <c r="B14" s="38">
        <v>2870800189</v>
      </c>
      <c r="C14" s="32" t="s">
        <v>50</v>
      </c>
      <c r="D14" s="33" t="s">
        <v>30</v>
      </c>
      <c r="E14" s="39">
        <v>31820</v>
      </c>
      <c r="F14" s="33" t="s">
        <v>31</v>
      </c>
      <c r="G14" s="33" t="s">
        <v>234</v>
      </c>
      <c r="H14" s="33" t="s">
        <v>24</v>
      </c>
      <c r="I14" s="39">
        <v>40817</v>
      </c>
      <c r="J14" s="39">
        <v>41183</v>
      </c>
      <c r="K14" s="33" t="s">
        <v>51</v>
      </c>
      <c r="L14" s="33" t="s">
        <v>52</v>
      </c>
      <c r="M14" s="39" t="s">
        <v>48</v>
      </c>
      <c r="N14" s="40" t="s">
        <v>27</v>
      </c>
      <c r="O14" s="41">
        <v>2</v>
      </c>
      <c r="P14" s="42">
        <v>3</v>
      </c>
      <c r="Q14" s="43">
        <v>45395</v>
      </c>
      <c r="R14" s="55" t="s">
        <v>49</v>
      </c>
      <c r="S14" s="44">
        <v>4193</v>
      </c>
      <c r="T14" s="45">
        <v>99672681</v>
      </c>
    </row>
    <row r="15" spans="1:22" s="46" customFormat="1" ht="21" customHeight="1" x14ac:dyDescent="0.75">
      <c r="A15" s="33">
        <f t="shared" si="0"/>
        <v>8</v>
      </c>
      <c r="B15" s="38">
        <v>1780800061</v>
      </c>
      <c r="C15" s="32" t="s">
        <v>53</v>
      </c>
      <c r="D15" s="33" t="s">
        <v>22</v>
      </c>
      <c r="E15" s="39">
        <v>28497</v>
      </c>
      <c r="F15" s="33" t="s">
        <v>31</v>
      </c>
      <c r="G15" s="33" t="s">
        <v>235</v>
      </c>
      <c r="H15" s="33" t="s">
        <v>41</v>
      </c>
      <c r="I15" s="39">
        <v>36434</v>
      </c>
      <c r="J15" s="39">
        <v>36800</v>
      </c>
      <c r="K15" s="33" t="s">
        <v>25</v>
      </c>
      <c r="L15" s="33" t="s">
        <v>54</v>
      </c>
      <c r="M15" s="39" t="s">
        <v>55</v>
      </c>
      <c r="N15" s="40" t="s">
        <v>43</v>
      </c>
      <c r="O15" s="41">
        <v>1</v>
      </c>
      <c r="P15" s="42">
        <v>6</v>
      </c>
      <c r="Q15" s="43">
        <v>45395</v>
      </c>
      <c r="R15" s="55" t="s">
        <v>44</v>
      </c>
      <c r="S15" s="44">
        <v>14356</v>
      </c>
      <c r="T15" s="45">
        <v>11691351</v>
      </c>
    </row>
    <row r="16" spans="1:22" s="46" customFormat="1" ht="21" customHeight="1" x14ac:dyDescent="0.75">
      <c r="A16" s="33">
        <f t="shared" si="0"/>
        <v>9</v>
      </c>
      <c r="B16" s="38">
        <v>1700800414</v>
      </c>
      <c r="C16" s="32" t="s">
        <v>56</v>
      </c>
      <c r="D16" s="33" t="s">
        <v>22</v>
      </c>
      <c r="E16" s="39">
        <v>25821</v>
      </c>
      <c r="F16" s="33" t="s">
        <v>23</v>
      </c>
      <c r="G16" s="33" t="s">
        <v>236</v>
      </c>
      <c r="H16" s="33" t="s">
        <v>24</v>
      </c>
      <c r="I16" s="39">
        <v>35735</v>
      </c>
      <c r="J16" s="39">
        <v>36100.25</v>
      </c>
      <c r="K16" s="33" t="s">
        <v>32</v>
      </c>
      <c r="L16" s="33"/>
      <c r="M16" s="39" t="s">
        <v>57</v>
      </c>
      <c r="N16" s="40" t="s">
        <v>27</v>
      </c>
      <c r="O16" s="41">
        <v>1</v>
      </c>
      <c r="P16" s="42">
        <v>3</v>
      </c>
      <c r="Q16" s="43">
        <v>45395</v>
      </c>
      <c r="R16" s="55" t="s">
        <v>28</v>
      </c>
      <c r="S16" s="44">
        <v>1476</v>
      </c>
      <c r="T16" s="45">
        <v>11215493</v>
      </c>
    </row>
    <row r="17" spans="1:20" s="46" customFormat="1" ht="21" customHeight="1" x14ac:dyDescent="0.75">
      <c r="A17" s="33">
        <f t="shared" si="0"/>
        <v>10</v>
      </c>
      <c r="B17" s="38">
        <v>1670800407</v>
      </c>
      <c r="C17" s="32" t="s">
        <v>58</v>
      </c>
      <c r="D17" s="33" t="s">
        <v>22</v>
      </c>
      <c r="E17" s="39">
        <v>24808</v>
      </c>
      <c r="F17" s="33" t="s">
        <v>31</v>
      </c>
      <c r="G17" s="33" t="s">
        <v>234</v>
      </c>
      <c r="H17" s="33" t="s">
        <v>24</v>
      </c>
      <c r="I17" s="39">
        <v>33508</v>
      </c>
      <c r="J17" s="39">
        <v>33873.25</v>
      </c>
      <c r="K17" s="33" t="s">
        <v>51</v>
      </c>
      <c r="L17" s="33"/>
      <c r="M17" s="39" t="s">
        <v>59</v>
      </c>
      <c r="N17" s="40" t="s">
        <v>27</v>
      </c>
      <c r="O17" s="41">
        <v>1</v>
      </c>
      <c r="P17" s="42">
        <v>3</v>
      </c>
      <c r="Q17" s="43">
        <v>45395</v>
      </c>
      <c r="R17" s="55" t="s">
        <v>28</v>
      </c>
      <c r="S17" s="44">
        <v>1448</v>
      </c>
      <c r="T17" s="45">
        <v>12651293</v>
      </c>
    </row>
    <row r="18" spans="1:20" s="46" customFormat="1" ht="21" customHeight="1" x14ac:dyDescent="0.75">
      <c r="A18" s="33">
        <f t="shared" si="0"/>
        <v>11</v>
      </c>
      <c r="B18" s="38">
        <v>1700500221</v>
      </c>
      <c r="C18" s="32" t="s">
        <v>60</v>
      </c>
      <c r="D18" s="33" t="s">
        <v>22</v>
      </c>
      <c r="E18" s="39">
        <v>25759</v>
      </c>
      <c r="F18" s="33" t="s">
        <v>31</v>
      </c>
      <c r="G18" s="33" t="s">
        <v>237</v>
      </c>
      <c r="H18" s="33" t="s">
        <v>24</v>
      </c>
      <c r="I18" s="39">
        <v>33878</v>
      </c>
      <c r="J18" s="39">
        <v>34243.25</v>
      </c>
      <c r="K18" s="33" t="s">
        <v>61</v>
      </c>
      <c r="L18" s="33"/>
      <c r="M18" s="39" t="s">
        <v>59</v>
      </c>
      <c r="N18" s="40" t="s">
        <v>27</v>
      </c>
      <c r="O18" s="41">
        <v>1</v>
      </c>
      <c r="P18" s="42">
        <v>3</v>
      </c>
      <c r="Q18" s="43">
        <v>45395</v>
      </c>
      <c r="R18" s="55" t="s">
        <v>28</v>
      </c>
      <c r="S18" s="44">
        <v>1475</v>
      </c>
      <c r="T18" s="45">
        <v>17715170</v>
      </c>
    </row>
    <row r="19" spans="1:20" s="46" customFormat="1" ht="21" customHeight="1" x14ac:dyDescent="0.75">
      <c r="A19" s="33">
        <f t="shared" si="0"/>
        <v>12</v>
      </c>
      <c r="B19" s="38">
        <v>1721200594</v>
      </c>
      <c r="C19" s="32" t="s">
        <v>62</v>
      </c>
      <c r="D19" s="33" t="s">
        <v>22</v>
      </c>
      <c r="E19" s="39">
        <v>26500</v>
      </c>
      <c r="F19" s="33" t="s">
        <v>23</v>
      </c>
      <c r="G19" s="33" t="s">
        <v>236</v>
      </c>
      <c r="H19" s="33" t="s">
        <v>24</v>
      </c>
      <c r="I19" s="39">
        <v>35391</v>
      </c>
      <c r="J19" s="39">
        <v>35756.25</v>
      </c>
      <c r="K19" s="33" t="s">
        <v>51</v>
      </c>
      <c r="L19" s="33"/>
      <c r="M19" s="39" t="s">
        <v>59</v>
      </c>
      <c r="N19" s="40" t="s">
        <v>27</v>
      </c>
      <c r="O19" s="41">
        <v>1</v>
      </c>
      <c r="P19" s="42">
        <v>3</v>
      </c>
      <c r="Q19" s="43">
        <v>45395</v>
      </c>
      <c r="R19" s="55" t="s">
        <v>28</v>
      </c>
      <c r="S19" s="44">
        <v>1485</v>
      </c>
      <c r="T19" s="45">
        <v>968611999</v>
      </c>
    </row>
    <row r="20" spans="1:20" s="46" customFormat="1" ht="21" customHeight="1" x14ac:dyDescent="0.75">
      <c r="A20" s="33">
        <f t="shared" si="0"/>
        <v>13</v>
      </c>
      <c r="B20" s="38">
        <v>1752100244</v>
      </c>
      <c r="C20" s="32" t="s">
        <v>63</v>
      </c>
      <c r="D20" s="33" t="s">
        <v>22</v>
      </c>
      <c r="E20" s="39">
        <v>27429</v>
      </c>
      <c r="F20" s="33" t="s">
        <v>31</v>
      </c>
      <c r="G20" s="33" t="s">
        <v>238</v>
      </c>
      <c r="H20" s="33" t="s">
        <v>24</v>
      </c>
      <c r="I20" s="39">
        <v>36069</v>
      </c>
      <c r="J20" s="39">
        <v>36434.25</v>
      </c>
      <c r="K20" s="33" t="s">
        <v>51</v>
      </c>
      <c r="L20" s="33"/>
      <c r="M20" s="39" t="s">
        <v>59</v>
      </c>
      <c r="N20" s="40" t="s">
        <v>27</v>
      </c>
      <c r="O20" s="41">
        <v>1</v>
      </c>
      <c r="P20" s="42">
        <v>5</v>
      </c>
      <c r="Q20" s="43">
        <v>45395</v>
      </c>
      <c r="R20" s="55" t="s">
        <v>28</v>
      </c>
      <c r="S20" s="44">
        <v>3155</v>
      </c>
      <c r="T20" s="45">
        <v>967097906</v>
      </c>
    </row>
    <row r="21" spans="1:20" s="46" customFormat="1" ht="21" customHeight="1" x14ac:dyDescent="0.75">
      <c r="A21" s="33">
        <f t="shared" si="0"/>
        <v>14</v>
      </c>
      <c r="B21" s="38">
        <v>2770500019</v>
      </c>
      <c r="C21" s="32" t="s">
        <v>64</v>
      </c>
      <c r="D21" s="33" t="s">
        <v>30</v>
      </c>
      <c r="E21" s="39">
        <v>28265</v>
      </c>
      <c r="F21" s="33" t="s">
        <v>23</v>
      </c>
      <c r="G21" s="33" t="s">
        <v>61</v>
      </c>
      <c r="H21" s="33" t="s">
        <v>24</v>
      </c>
      <c r="I21" s="39">
        <v>37174</v>
      </c>
      <c r="J21" s="39">
        <v>37539.25</v>
      </c>
      <c r="K21" s="33" t="s">
        <v>61</v>
      </c>
      <c r="L21" s="33"/>
      <c r="M21" s="39" t="s">
        <v>59</v>
      </c>
      <c r="N21" s="40" t="s">
        <v>27</v>
      </c>
      <c r="O21" s="41">
        <v>1</v>
      </c>
      <c r="P21" s="42">
        <v>4</v>
      </c>
      <c r="Q21" s="43">
        <v>45395</v>
      </c>
      <c r="R21" s="55" t="s">
        <v>28</v>
      </c>
      <c r="S21" s="44">
        <v>3897</v>
      </c>
      <c r="T21" s="45">
        <v>11656889</v>
      </c>
    </row>
    <row r="22" spans="1:20" s="46" customFormat="1" ht="21" customHeight="1" x14ac:dyDescent="0.75">
      <c r="A22" s="33">
        <f t="shared" si="0"/>
        <v>15</v>
      </c>
      <c r="B22" s="38">
        <v>2790800069</v>
      </c>
      <c r="C22" s="32" t="s">
        <v>65</v>
      </c>
      <c r="D22" s="33" t="s">
        <v>30</v>
      </c>
      <c r="E22" s="39">
        <v>29189</v>
      </c>
      <c r="F22" s="33" t="s">
        <v>31</v>
      </c>
      <c r="G22" s="33" t="s">
        <v>233</v>
      </c>
      <c r="H22" s="33" t="s">
        <v>24</v>
      </c>
      <c r="I22" s="39">
        <v>36434</v>
      </c>
      <c r="J22" s="39">
        <v>36799.25</v>
      </c>
      <c r="K22" s="33" t="s">
        <v>66</v>
      </c>
      <c r="L22" s="33" t="s">
        <v>67</v>
      </c>
      <c r="M22" s="39" t="s">
        <v>59</v>
      </c>
      <c r="N22" s="40" t="s">
        <v>27</v>
      </c>
      <c r="O22" s="41">
        <v>2</v>
      </c>
      <c r="P22" s="42">
        <v>2</v>
      </c>
      <c r="Q22" s="43">
        <v>45395</v>
      </c>
      <c r="R22" s="55" t="s">
        <v>49</v>
      </c>
      <c r="S22" s="44">
        <v>2202</v>
      </c>
      <c r="T22" s="45">
        <v>763534766</v>
      </c>
    </row>
    <row r="23" spans="1:20" s="46" customFormat="1" ht="21" customHeight="1" x14ac:dyDescent="0.75">
      <c r="A23" s="33">
        <f t="shared" si="0"/>
        <v>16</v>
      </c>
      <c r="B23" s="38">
        <v>2800800080</v>
      </c>
      <c r="C23" s="32" t="s">
        <v>68</v>
      </c>
      <c r="D23" s="33" t="s">
        <v>30</v>
      </c>
      <c r="E23" s="39">
        <v>29318</v>
      </c>
      <c r="F23" s="33" t="s">
        <v>31</v>
      </c>
      <c r="G23" s="33"/>
      <c r="H23" s="33" t="s">
        <v>24</v>
      </c>
      <c r="I23" s="39">
        <v>36800</v>
      </c>
      <c r="J23" s="39">
        <v>37165</v>
      </c>
      <c r="K23" s="33" t="s">
        <v>32</v>
      </c>
      <c r="L23" s="33"/>
      <c r="M23" s="39" t="s">
        <v>59</v>
      </c>
      <c r="N23" s="40" t="s">
        <v>27</v>
      </c>
      <c r="O23" s="41">
        <v>3</v>
      </c>
      <c r="P23" s="42">
        <v>1</v>
      </c>
      <c r="Q23" s="43">
        <v>45395</v>
      </c>
      <c r="R23" s="55" t="s">
        <v>44</v>
      </c>
      <c r="S23" s="44">
        <v>11327</v>
      </c>
      <c r="T23" s="45">
        <v>969077106</v>
      </c>
    </row>
    <row r="24" spans="1:20" s="46" customFormat="1" ht="21" customHeight="1" x14ac:dyDescent="0.75">
      <c r="A24" s="33">
        <f t="shared" si="0"/>
        <v>17</v>
      </c>
      <c r="B24" s="38">
        <v>2800800220</v>
      </c>
      <c r="C24" s="32" t="s">
        <v>69</v>
      </c>
      <c r="D24" s="33" t="s">
        <v>30</v>
      </c>
      <c r="E24" s="39">
        <v>29516</v>
      </c>
      <c r="F24" s="33" t="s">
        <v>31</v>
      </c>
      <c r="G24" s="33" t="s">
        <v>239</v>
      </c>
      <c r="H24" s="33" t="s">
        <v>24</v>
      </c>
      <c r="I24" s="39">
        <v>37530</v>
      </c>
      <c r="J24" s="39">
        <v>37895.25</v>
      </c>
      <c r="K24" s="33" t="s">
        <v>70</v>
      </c>
      <c r="L24" s="33"/>
      <c r="M24" s="39" t="s">
        <v>71</v>
      </c>
      <c r="N24" s="40" t="s">
        <v>27</v>
      </c>
      <c r="O24" s="41">
        <v>2</v>
      </c>
      <c r="P24" s="42">
        <v>3</v>
      </c>
      <c r="Q24" s="43">
        <v>45395</v>
      </c>
      <c r="R24" s="55" t="s">
        <v>49</v>
      </c>
      <c r="S24" s="44">
        <v>4163</v>
      </c>
      <c r="T24" s="45">
        <v>965144405</v>
      </c>
    </row>
    <row r="25" spans="1:20" s="46" customFormat="1" ht="21" customHeight="1" x14ac:dyDescent="0.75">
      <c r="A25" s="33">
        <f t="shared" si="0"/>
        <v>18</v>
      </c>
      <c r="B25" s="38">
        <v>1800800174</v>
      </c>
      <c r="C25" s="32" t="s">
        <v>72</v>
      </c>
      <c r="D25" s="33" t="s">
        <v>73</v>
      </c>
      <c r="E25" s="39">
        <v>29526</v>
      </c>
      <c r="F25" s="33" t="s">
        <v>31</v>
      </c>
      <c r="G25" s="33" t="s">
        <v>42</v>
      </c>
      <c r="H25" s="33" t="s">
        <v>24</v>
      </c>
      <c r="I25" s="39">
        <v>37165</v>
      </c>
      <c r="J25" s="39">
        <v>37530.25</v>
      </c>
      <c r="K25" s="33" t="s">
        <v>42</v>
      </c>
      <c r="L25" s="33" t="s">
        <v>38</v>
      </c>
      <c r="M25" s="39" t="s">
        <v>59</v>
      </c>
      <c r="N25" s="40" t="s">
        <v>27</v>
      </c>
      <c r="O25" s="41">
        <v>2</v>
      </c>
      <c r="P25" s="42">
        <v>3</v>
      </c>
      <c r="Q25" s="43">
        <v>45395</v>
      </c>
      <c r="R25" s="55" t="s">
        <v>49</v>
      </c>
      <c r="S25" s="44">
        <v>2460</v>
      </c>
      <c r="T25" s="45">
        <v>12284479</v>
      </c>
    </row>
    <row r="26" spans="1:20" s="46" customFormat="1" ht="21" customHeight="1" x14ac:dyDescent="0.75">
      <c r="A26" s="33">
        <f t="shared" si="0"/>
        <v>19</v>
      </c>
      <c r="B26" s="38">
        <v>1810800236</v>
      </c>
      <c r="C26" s="32" t="s">
        <v>204</v>
      </c>
      <c r="D26" s="33" t="s">
        <v>22</v>
      </c>
      <c r="E26" s="39">
        <v>29919</v>
      </c>
      <c r="F26" s="33" t="s">
        <v>31</v>
      </c>
      <c r="G26" s="33" t="s">
        <v>25</v>
      </c>
      <c r="H26" s="33" t="s">
        <v>24</v>
      </c>
      <c r="I26" s="39">
        <v>37895</v>
      </c>
      <c r="J26" s="39">
        <v>38261</v>
      </c>
      <c r="K26" s="33" t="s">
        <v>25</v>
      </c>
      <c r="L26" s="33" t="s">
        <v>32</v>
      </c>
      <c r="M26" s="39" t="s">
        <v>59</v>
      </c>
      <c r="N26" s="40" t="s">
        <v>27</v>
      </c>
      <c r="O26" s="41">
        <v>3</v>
      </c>
      <c r="P26" s="42">
        <v>2</v>
      </c>
      <c r="Q26" s="43">
        <v>45395</v>
      </c>
      <c r="R26" s="55" t="s">
        <v>44</v>
      </c>
      <c r="S26" s="44">
        <v>11476</v>
      </c>
      <c r="T26" s="45">
        <v>17838114</v>
      </c>
    </row>
    <row r="27" spans="1:20" s="46" customFormat="1" ht="21" customHeight="1" x14ac:dyDescent="0.75">
      <c r="A27" s="33">
        <f t="shared" si="0"/>
        <v>20</v>
      </c>
      <c r="B27" s="38">
        <v>1810800083</v>
      </c>
      <c r="C27" s="32" t="s">
        <v>74</v>
      </c>
      <c r="D27" s="33" t="s">
        <v>22</v>
      </c>
      <c r="E27" s="39">
        <v>29950</v>
      </c>
      <c r="F27" s="33" t="s">
        <v>23</v>
      </c>
      <c r="G27" s="33" t="s">
        <v>240</v>
      </c>
      <c r="H27" s="33" t="s">
        <v>24</v>
      </c>
      <c r="I27" s="39">
        <v>37165</v>
      </c>
      <c r="J27" s="39">
        <v>37530.25</v>
      </c>
      <c r="K27" s="33" t="s">
        <v>70</v>
      </c>
      <c r="L27" s="33" t="s">
        <v>67</v>
      </c>
      <c r="M27" s="39" t="s">
        <v>59</v>
      </c>
      <c r="N27" s="40" t="s">
        <v>27</v>
      </c>
      <c r="O27" s="41">
        <v>1</v>
      </c>
      <c r="P27" s="42">
        <v>5</v>
      </c>
      <c r="Q27" s="43">
        <v>45395</v>
      </c>
      <c r="R27" s="55" t="s">
        <v>28</v>
      </c>
      <c r="S27" s="44">
        <v>4316</v>
      </c>
      <c r="T27" s="45">
        <v>17585285</v>
      </c>
    </row>
    <row r="28" spans="1:20" s="46" customFormat="1" ht="21" customHeight="1" x14ac:dyDescent="0.75">
      <c r="A28" s="33">
        <f t="shared" si="0"/>
        <v>21</v>
      </c>
      <c r="B28" s="38">
        <v>1822100564</v>
      </c>
      <c r="C28" s="32" t="s">
        <v>75</v>
      </c>
      <c r="D28" s="33" t="s">
        <v>22</v>
      </c>
      <c r="E28" s="39">
        <v>29953</v>
      </c>
      <c r="F28" s="33" t="s">
        <v>31</v>
      </c>
      <c r="G28" s="33" t="s">
        <v>241</v>
      </c>
      <c r="H28" s="33" t="s">
        <v>24</v>
      </c>
      <c r="I28" s="39">
        <v>36434</v>
      </c>
      <c r="J28" s="39">
        <v>36799.25</v>
      </c>
      <c r="K28" s="33" t="s">
        <v>51</v>
      </c>
      <c r="L28" s="33"/>
      <c r="M28" s="39" t="s">
        <v>59</v>
      </c>
      <c r="N28" s="40" t="s">
        <v>27</v>
      </c>
      <c r="O28" s="41">
        <v>2</v>
      </c>
      <c r="P28" s="42">
        <v>3</v>
      </c>
      <c r="Q28" s="43">
        <v>45395</v>
      </c>
      <c r="R28" s="55" t="s">
        <v>49</v>
      </c>
      <c r="S28" s="44">
        <v>2468</v>
      </c>
      <c r="T28" s="45">
        <v>92250726</v>
      </c>
    </row>
    <row r="29" spans="1:20" s="46" customFormat="1" ht="21" customHeight="1" x14ac:dyDescent="0.75">
      <c r="A29" s="33">
        <f t="shared" si="0"/>
        <v>22</v>
      </c>
      <c r="B29" s="38">
        <v>1822100452</v>
      </c>
      <c r="C29" s="32" t="s">
        <v>76</v>
      </c>
      <c r="D29" s="33" t="s">
        <v>22</v>
      </c>
      <c r="E29" s="39">
        <v>30055</v>
      </c>
      <c r="F29" s="33" t="s">
        <v>31</v>
      </c>
      <c r="G29" s="33" t="s">
        <v>32</v>
      </c>
      <c r="H29" s="33" t="s">
        <v>24</v>
      </c>
      <c r="I29" s="39">
        <v>38991</v>
      </c>
      <c r="J29" s="39">
        <v>39356.25</v>
      </c>
      <c r="K29" s="33" t="s">
        <v>32</v>
      </c>
      <c r="L29" s="33" t="s">
        <v>25</v>
      </c>
      <c r="M29" s="39" t="s">
        <v>59</v>
      </c>
      <c r="N29" s="40" t="s">
        <v>27</v>
      </c>
      <c r="O29" s="41">
        <v>2</v>
      </c>
      <c r="P29" s="42">
        <v>1</v>
      </c>
      <c r="Q29" s="43">
        <v>45395</v>
      </c>
      <c r="R29" s="55" t="s">
        <v>49</v>
      </c>
      <c r="S29" s="44">
        <v>5128</v>
      </c>
      <c r="T29" s="45">
        <v>86515558</v>
      </c>
    </row>
    <row r="30" spans="1:20" s="46" customFormat="1" ht="21" customHeight="1" x14ac:dyDescent="0.75">
      <c r="A30" s="33">
        <f t="shared" si="0"/>
        <v>23</v>
      </c>
      <c r="B30" s="38">
        <v>1820800224</v>
      </c>
      <c r="C30" s="32" t="s">
        <v>77</v>
      </c>
      <c r="D30" s="33" t="s">
        <v>22</v>
      </c>
      <c r="E30" s="39">
        <v>30219</v>
      </c>
      <c r="F30" s="33" t="s">
        <v>31</v>
      </c>
      <c r="G30" s="33" t="s">
        <v>32</v>
      </c>
      <c r="H30" s="33" t="s">
        <v>24</v>
      </c>
      <c r="I30" s="39">
        <v>37895</v>
      </c>
      <c r="J30" s="39">
        <v>38261</v>
      </c>
      <c r="K30" s="33" t="s">
        <v>32</v>
      </c>
      <c r="L30" s="33"/>
      <c r="M30" s="39" t="s">
        <v>59</v>
      </c>
      <c r="N30" s="40" t="s">
        <v>27</v>
      </c>
      <c r="O30" s="41">
        <v>3</v>
      </c>
      <c r="P30" s="42">
        <v>1</v>
      </c>
      <c r="Q30" s="43">
        <v>45395</v>
      </c>
      <c r="R30" s="55" t="s">
        <v>44</v>
      </c>
      <c r="S30" s="44">
        <v>11315</v>
      </c>
      <c r="T30" s="45">
        <v>70445352</v>
      </c>
    </row>
    <row r="31" spans="1:20" s="46" customFormat="1" ht="21" customHeight="1" x14ac:dyDescent="0.75">
      <c r="A31" s="33">
        <f t="shared" si="0"/>
        <v>24</v>
      </c>
      <c r="B31" s="38">
        <v>1820500190</v>
      </c>
      <c r="C31" s="32" t="s">
        <v>78</v>
      </c>
      <c r="D31" s="33" t="s">
        <v>22</v>
      </c>
      <c r="E31" s="39">
        <v>30266</v>
      </c>
      <c r="F31" s="33" t="s">
        <v>31</v>
      </c>
      <c r="G31" s="33" t="s">
        <v>35</v>
      </c>
      <c r="H31" s="33" t="s">
        <v>24</v>
      </c>
      <c r="I31" s="39">
        <v>38991</v>
      </c>
      <c r="J31" s="39">
        <v>39356</v>
      </c>
      <c r="K31" s="33" t="s">
        <v>35</v>
      </c>
      <c r="L31" s="33"/>
      <c r="M31" s="39" t="s">
        <v>59</v>
      </c>
      <c r="N31" s="40" t="s">
        <v>27</v>
      </c>
      <c r="O31" s="41">
        <v>3</v>
      </c>
      <c r="P31" s="42">
        <v>1</v>
      </c>
      <c r="Q31" s="43">
        <v>45395</v>
      </c>
      <c r="R31" s="55" t="s">
        <v>44</v>
      </c>
      <c r="S31" s="44">
        <v>11314</v>
      </c>
      <c r="T31" s="45">
        <v>16868840</v>
      </c>
    </row>
    <row r="32" spans="1:20" s="46" customFormat="1" ht="21" customHeight="1" x14ac:dyDescent="0.75">
      <c r="A32" s="33">
        <f t="shared" si="0"/>
        <v>25</v>
      </c>
      <c r="B32" s="38">
        <v>1840800060</v>
      </c>
      <c r="C32" s="32" t="s">
        <v>79</v>
      </c>
      <c r="D32" s="33" t="s">
        <v>22</v>
      </c>
      <c r="E32" s="39">
        <v>30762</v>
      </c>
      <c r="F32" s="33" t="s">
        <v>23</v>
      </c>
      <c r="G32" s="33" t="s">
        <v>242</v>
      </c>
      <c r="H32" s="33" t="s">
        <v>24</v>
      </c>
      <c r="I32" s="39">
        <v>38626</v>
      </c>
      <c r="J32" s="39">
        <v>38991.25</v>
      </c>
      <c r="K32" s="33" t="s">
        <v>67</v>
      </c>
      <c r="L32" s="33" t="s">
        <v>80</v>
      </c>
      <c r="M32" s="39" t="s">
        <v>59</v>
      </c>
      <c r="N32" s="40" t="s">
        <v>27</v>
      </c>
      <c r="O32" s="41">
        <v>2</v>
      </c>
      <c r="P32" s="42">
        <v>1</v>
      </c>
      <c r="Q32" s="43">
        <v>45395</v>
      </c>
      <c r="R32" s="55" t="s">
        <v>49</v>
      </c>
      <c r="S32" s="44">
        <v>542</v>
      </c>
      <c r="T32" s="45">
        <v>12337706</v>
      </c>
    </row>
    <row r="33" spans="1:20" s="46" customFormat="1" ht="21" customHeight="1" x14ac:dyDescent="0.75">
      <c r="A33" s="33">
        <f t="shared" si="0"/>
        <v>26</v>
      </c>
      <c r="B33" s="38">
        <v>2850800099</v>
      </c>
      <c r="C33" s="32" t="s">
        <v>81</v>
      </c>
      <c r="D33" s="33" t="s">
        <v>30</v>
      </c>
      <c r="E33" s="39">
        <v>31122</v>
      </c>
      <c r="F33" s="33" t="s">
        <v>31</v>
      </c>
      <c r="G33" s="33" t="s">
        <v>61</v>
      </c>
      <c r="H33" s="33" t="s">
        <v>24</v>
      </c>
      <c r="I33" s="39">
        <v>37895</v>
      </c>
      <c r="J33" s="39">
        <v>38261</v>
      </c>
      <c r="K33" s="33" t="s">
        <v>61</v>
      </c>
      <c r="L33" s="33"/>
      <c r="M33" s="39" t="s">
        <v>71</v>
      </c>
      <c r="N33" s="40" t="s">
        <v>27</v>
      </c>
      <c r="O33" s="41">
        <v>2</v>
      </c>
      <c r="P33" s="42">
        <v>3</v>
      </c>
      <c r="Q33" s="43">
        <v>45395</v>
      </c>
      <c r="R33" s="55" t="s">
        <v>49</v>
      </c>
      <c r="S33" s="44">
        <v>4183</v>
      </c>
      <c r="T33" s="45">
        <v>17941426</v>
      </c>
    </row>
    <row r="34" spans="1:20" s="46" customFormat="1" ht="21" customHeight="1" x14ac:dyDescent="0.75">
      <c r="A34" s="33">
        <f t="shared" si="0"/>
        <v>27</v>
      </c>
      <c r="B34" s="38">
        <v>1851400249</v>
      </c>
      <c r="C34" s="32" t="s">
        <v>82</v>
      </c>
      <c r="D34" s="33" t="s">
        <v>22</v>
      </c>
      <c r="E34" s="39">
        <v>31172</v>
      </c>
      <c r="F34" s="33" t="s">
        <v>31</v>
      </c>
      <c r="G34" s="33" t="s">
        <v>243</v>
      </c>
      <c r="H34" s="33" t="s">
        <v>24</v>
      </c>
      <c r="I34" s="39">
        <v>41183</v>
      </c>
      <c r="J34" s="39">
        <v>41548.25</v>
      </c>
      <c r="K34" s="33" t="s">
        <v>67</v>
      </c>
      <c r="L34" s="33" t="s">
        <v>83</v>
      </c>
      <c r="M34" s="39" t="s">
        <v>59</v>
      </c>
      <c r="N34" s="40" t="s">
        <v>27</v>
      </c>
      <c r="O34" s="41">
        <v>2</v>
      </c>
      <c r="P34" s="42">
        <v>3</v>
      </c>
      <c r="Q34" s="43">
        <v>45395</v>
      </c>
      <c r="R34" s="55" t="s">
        <v>49</v>
      </c>
      <c r="S34" s="44">
        <v>2505</v>
      </c>
      <c r="T34" s="45">
        <v>93535090</v>
      </c>
    </row>
    <row r="35" spans="1:20" s="46" customFormat="1" ht="21" customHeight="1" x14ac:dyDescent="0.75">
      <c r="A35" s="33">
        <f t="shared" si="0"/>
        <v>28</v>
      </c>
      <c r="B35" s="33">
        <v>2850800236</v>
      </c>
      <c r="C35" s="47" t="s">
        <v>84</v>
      </c>
      <c r="D35" s="33" t="s">
        <v>30</v>
      </c>
      <c r="E35" s="39">
        <v>31179</v>
      </c>
      <c r="F35" s="33" t="s">
        <v>31</v>
      </c>
      <c r="G35" s="33" t="s">
        <v>244</v>
      </c>
      <c r="H35" s="33" t="s">
        <v>24</v>
      </c>
      <c r="I35" s="39">
        <v>40817</v>
      </c>
      <c r="J35" s="39">
        <v>41182.25</v>
      </c>
      <c r="K35" s="33" t="s">
        <v>85</v>
      </c>
      <c r="L35" s="33"/>
      <c r="M35" s="39" t="s">
        <v>59</v>
      </c>
      <c r="N35" s="40" t="s">
        <v>27</v>
      </c>
      <c r="O35" s="41">
        <v>2</v>
      </c>
      <c r="P35" s="42">
        <v>3</v>
      </c>
      <c r="Q35" s="43">
        <v>45395</v>
      </c>
      <c r="R35" s="55" t="s">
        <v>49</v>
      </c>
      <c r="S35" s="44">
        <v>4184</v>
      </c>
      <c r="T35" s="45">
        <v>87527007</v>
      </c>
    </row>
    <row r="36" spans="1:20" s="46" customFormat="1" ht="21" customHeight="1" x14ac:dyDescent="0.75">
      <c r="A36" s="33">
        <f t="shared" si="0"/>
        <v>29</v>
      </c>
      <c r="B36" s="38">
        <v>1850700022</v>
      </c>
      <c r="C36" s="32" t="s">
        <v>86</v>
      </c>
      <c r="D36" s="33" t="s">
        <v>22</v>
      </c>
      <c r="E36" s="39">
        <v>31245</v>
      </c>
      <c r="F36" s="33" t="s">
        <v>23</v>
      </c>
      <c r="G36" s="33" t="s">
        <v>234</v>
      </c>
      <c r="H36" s="33" t="s">
        <v>24</v>
      </c>
      <c r="I36" s="39">
        <v>38626</v>
      </c>
      <c r="J36" s="39">
        <v>38991.25</v>
      </c>
      <c r="K36" s="33" t="s">
        <v>51</v>
      </c>
      <c r="L36" s="33" t="s">
        <v>87</v>
      </c>
      <c r="M36" s="39" t="s">
        <v>59</v>
      </c>
      <c r="N36" s="40" t="s">
        <v>27</v>
      </c>
      <c r="O36" s="41">
        <v>3</v>
      </c>
      <c r="P36" s="42">
        <v>2</v>
      </c>
      <c r="Q36" s="43">
        <v>45395</v>
      </c>
      <c r="R36" s="55" t="s">
        <v>44</v>
      </c>
      <c r="S36" s="44">
        <v>11456</v>
      </c>
      <c r="T36" s="45">
        <v>977102041</v>
      </c>
    </row>
    <row r="37" spans="1:20" s="46" customFormat="1" ht="21" customHeight="1" x14ac:dyDescent="0.75">
      <c r="A37" s="33">
        <f t="shared" si="0"/>
        <v>30</v>
      </c>
      <c r="B37" s="38">
        <v>2851200234</v>
      </c>
      <c r="C37" s="32" t="s">
        <v>88</v>
      </c>
      <c r="D37" s="33" t="s">
        <v>30</v>
      </c>
      <c r="E37" s="39">
        <v>31296</v>
      </c>
      <c r="F37" s="33" t="s">
        <v>31</v>
      </c>
      <c r="G37" s="33" t="s">
        <v>234</v>
      </c>
      <c r="H37" s="33" t="s">
        <v>24</v>
      </c>
      <c r="I37" s="39">
        <v>40452</v>
      </c>
      <c r="J37" s="39">
        <v>40817.25</v>
      </c>
      <c r="K37" s="33" t="s">
        <v>51</v>
      </c>
      <c r="L37" s="33" t="s">
        <v>32</v>
      </c>
      <c r="M37" s="39" t="s">
        <v>71</v>
      </c>
      <c r="N37" s="40" t="s">
        <v>27</v>
      </c>
      <c r="O37" s="41">
        <v>2</v>
      </c>
      <c r="P37" s="42">
        <v>2</v>
      </c>
      <c r="Q37" s="43">
        <v>45395</v>
      </c>
      <c r="R37" s="55" t="s">
        <v>49</v>
      </c>
      <c r="S37" s="44">
        <v>2223</v>
      </c>
      <c r="T37" s="45">
        <v>972271534</v>
      </c>
    </row>
    <row r="38" spans="1:20" s="46" customFormat="1" ht="21" customHeight="1" x14ac:dyDescent="0.75">
      <c r="A38" s="33">
        <f t="shared" si="0"/>
        <v>31</v>
      </c>
      <c r="B38" s="38">
        <v>2851200233</v>
      </c>
      <c r="C38" s="32" t="s">
        <v>89</v>
      </c>
      <c r="D38" s="33" t="s">
        <v>30</v>
      </c>
      <c r="E38" s="39">
        <v>31296</v>
      </c>
      <c r="F38" s="33" t="s">
        <v>31</v>
      </c>
      <c r="G38" s="33" t="s">
        <v>234</v>
      </c>
      <c r="H38" s="33" t="s">
        <v>24</v>
      </c>
      <c r="I38" s="39">
        <v>40452</v>
      </c>
      <c r="J38" s="39">
        <v>40817.25</v>
      </c>
      <c r="K38" s="33" t="s">
        <v>51</v>
      </c>
      <c r="L38" s="33" t="s">
        <v>32</v>
      </c>
      <c r="M38" s="39" t="s">
        <v>59</v>
      </c>
      <c r="N38" s="40" t="s">
        <v>27</v>
      </c>
      <c r="O38" s="41">
        <v>2</v>
      </c>
      <c r="P38" s="42">
        <v>2</v>
      </c>
      <c r="Q38" s="43">
        <v>45395</v>
      </c>
      <c r="R38" s="55" t="s">
        <v>49</v>
      </c>
      <c r="S38" s="44">
        <v>2222</v>
      </c>
      <c r="T38" s="45">
        <v>92763699</v>
      </c>
    </row>
    <row r="39" spans="1:20" s="46" customFormat="1" ht="21" customHeight="1" x14ac:dyDescent="0.75">
      <c r="A39" s="33">
        <f t="shared" si="0"/>
        <v>32</v>
      </c>
      <c r="B39" s="33">
        <v>2850800253</v>
      </c>
      <c r="C39" s="47" t="s">
        <v>90</v>
      </c>
      <c r="D39" s="33" t="s">
        <v>30</v>
      </c>
      <c r="E39" s="39">
        <v>31383</v>
      </c>
      <c r="F39" s="33" t="s">
        <v>31</v>
      </c>
      <c r="G39" s="33" t="s">
        <v>25</v>
      </c>
      <c r="H39" s="33" t="s">
        <v>24</v>
      </c>
      <c r="I39" s="39">
        <v>41183</v>
      </c>
      <c r="J39" s="39">
        <v>41548.25</v>
      </c>
      <c r="K39" s="33" t="s">
        <v>25</v>
      </c>
      <c r="L39" s="33" t="s">
        <v>25</v>
      </c>
      <c r="M39" s="39" t="s">
        <v>59</v>
      </c>
      <c r="N39" s="40" t="s">
        <v>27</v>
      </c>
      <c r="O39" s="41">
        <v>2</v>
      </c>
      <c r="P39" s="42">
        <v>3</v>
      </c>
      <c r="Q39" s="43">
        <v>45395</v>
      </c>
      <c r="R39" s="55" t="s">
        <v>49</v>
      </c>
      <c r="S39" s="44">
        <v>4198</v>
      </c>
      <c r="T39" s="45">
        <v>89761199</v>
      </c>
    </row>
    <row r="40" spans="1:20" s="46" customFormat="1" ht="21" customHeight="1" x14ac:dyDescent="0.75">
      <c r="A40" s="33">
        <f t="shared" si="0"/>
        <v>33</v>
      </c>
      <c r="B40" s="38">
        <v>1861200151</v>
      </c>
      <c r="C40" s="32" t="s">
        <v>91</v>
      </c>
      <c r="D40" s="33" t="s">
        <v>22</v>
      </c>
      <c r="E40" s="39">
        <v>31433</v>
      </c>
      <c r="F40" s="33" t="s">
        <v>23</v>
      </c>
      <c r="G40" s="33" t="s">
        <v>245</v>
      </c>
      <c r="H40" s="33" t="s">
        <v>24</v>
      </c>
      <c r="I40" s="39">
        <v>40087</v>
      </c>
      <c r="J40" s="39">
        <v>40452.25</v>
      </c>
      <c r="K40" s="33" t="s">
        <v>67</v>
      </c>
      <c r="L40" s="33"/>
      <c r="M40" s="39" t="s">
        <v>59</v>
      </c>
      <c r="N40" s="40" t="s">
        <v>27</v>
      </c>
      <c r="O40" s="41">
        <v>2</v>
      </c>
      <c r="P40" s="42">
        <v>1</v>
      </c>
      <c r="Q40" s="43">
        <v>45395</v>
      </c>
      <c r="R40" s="55" t="s">
        <v>49</v>
      </c>
      <c r="S40" s="44">
        <v>549</v>
      </c>
      <c r="T40" s="45">
        <v>16955669</v>
      </c>
    </row>
    <row r="41" spans="1:20" s="46" customFormat="1" ht="21" customHeight="1" x14ac:dyDescent="0.75">
      <c r="A41" s="33">
        <f t="shared" si="0"/>
        <v>34</v>
      </c>
      <c r="B41" s="38">
        <v>1860800311</v>
      </c>
      <c r="C41" s="32" t="s">
        <v>92</v>
      </c>
      <c r="D41" s="33" t="s">
        <v>22</v>
      </c>
      <c r="E41" s="39">
        <v>31478</v>
      </c>
      <c r="F41" s="33" t="s">
        <v>31</v>
      </c>
      <c r="G41" s="33" t="s">
        <v>246</v>
      </c>
      <c r="H41" s="33" t="s">
        <v>24</v>
      </c>
      <c r="I41" s="39">
        <v>41548</v>
      </c>
      <c r="J41" s="39">
        <v>41913.25</v>
      </c>
      <c r="K41" s="33" t="s">
        <v>85</v>
      </c>
      <c r="L41" s="33" t="s">
        <v>83</v>
      </c>
      <c r="M41" s="39" t="s">
        <v>71</v>
      </c>
      <c r="N41" s="40" t="s">
        <v>27</v>
      </c>
      <c r="O41" s="41">
        <v>2</v>
      </c>
      <c r="P41" s="42">
        <v>4</v>
      </c>
      <c r="Q41" s="43">
        <v>45395</v>
      </c>
      <c r="R41" s="55" t="s">
        <v>49</v>
      </c>
      <c r="S41" s="44">
        <v>5075</v>
      </c>
      <c r="T41" s="45">
        <v>69888598</v>
      </c>
    </row>
    <row r="42" spans="1:20" s="46" customFormat="1" ht="21" customHeight="1" x14ac:dyDescent="0.75">
      <c r="A42" s="33">
        <f t="shared" si="0"/>
        <v>35</v>
      </c>
      <c r="B42" s="38">
        <v>2861200270</v>
      </c>
      <c r="C42" s="32" t="s">
        <v>93</v>
      </c>
      <c r="D42" s="33" t="s">
        <v>30</v>
      </c>
      <c r="E42" s="39">
        <v>31579</v>
      </c>
      <c r="F42" s="33" t="s">
        <v>31</v>
      </c>
      <c r="G42" s="33" t="s">
        <v>247</v>
      </c>
      <c r="H42" s="33" t="s">
        <v>24</v>
      </c>
      <c r="I42" s="39">
        <v>41548</v>
      </c>
      <c r="J42" s="39">
        <v>41913.25</v>
      </c>
      <c r="K42" s="33" t="s">
        <v>46</v>
      </c>
      <c r="L42" s="33" t="s">
        <v>47</v>
      </c>
      <c r="M42" s="39" t="s">
        <v>71</v>
      </c>
      <c r="N42" s="40" t="s">
        <v>27</v>
      </c>
      <c r="O42" s="41">
        <v>2</v>
      </c>
      <c r="P42" s="42">
        <v>4</v>
      </c>
      <c r="Q42" s="43">
        <v>45395</v>
      </c>
      <c r="R42" s="55" t="s">
        <v>49</v>
      </c>
      <c r="S42" s="44">
        <v>5643</v>
      </c>
      <c r="T42" s="45">
        <v>15301056</v>
      </c>
    </row>
    <row r="43" spans="1:20" s="46" customFormat="1" ht="21" customHeight="1" x14ac:dyDescent="0.75">
      <c r="A43" s="33">
        <f t="shared" si="0"/>
        <v>36</v>
      </c>
      <c r="B43" s="33">
        <v>1860800098</v>
      </c>
      <c r="C43" s="32" t="s">
        <v>94</v>
      </c>
      <c r="D43" s="33" t="s">
        <v>22</v>
      </c>
      <c r="E43" s="39">
        <v>31727</v>
      </c>
      <c r="F43" s="33" t="s">
        <v>95</v>
      </c>
      <c r="G43" s="33"/>
      <c r="H43" s="33" t="s">
        <v>24</v>
      </c>
      <c r="I43" s="39">
        <v>39722</v>
      </c>
      <c r="J43" s="39">
        <v>40087</v>
      </c>
      <c r="K43" s="33" t="s">
        <v>32</v>
      </c>
      <c r="L43" s="33" t="s">
        <v>25</v>
      </c>
      <c r="M43" s="39" t="s">
        <v>96</v>
      </c>
      <c r="N43" s="40" t="s">
        <v>27</v>
      </c>
      <c r="O43" s="41">
        <v>3</v>
      </c>
      <c r="P43" s="42">
        <v>1</v>
      </c>
      <c r="Q43" s="43">
        <v>45395</v>
      </c>
      <c r="R43" s="55" t="s">
        <v>44</v>
      </c>
      <c r="S43" s="44">
        <v>11284</v>
      </c>
      <c r="T43" s="45">
        <v>98252255</v>
      </c>
    </row>
    <row r="44" spans="1:20" s="46" customFormat="1" ht="21" customHeight="1" x14ac:dyDescent="0.75">
      <c r="A44" s="33">
        <f t="shared" si="0"/>
        <v>37</v>
      </c>
      <c r="B44" s="38">
        <v>2870800032</v>
      </c>
      <c r="C44" s="32" t="s">
        <v>97</v>
      </c>
      <c r="D44" s="33" t="s">
        <v>30</v>
      </c>
      <c r="E44" s="39">
        <v>31877</v>
      </c>
      <c r="F44" s="33" t="s">
        <v>95</v>
      </c>
      <c r="G44" s="33"/>
      <c r="H44" s="33" t="s">
        <v>24</v>
      </c>
      <c r="I44" s="39">
        <v>39722</v>
      </c>
      <c r="J44" s="39">
        <v>40087.25</v>
      </c>
      <c r="K44" s="33" t="s">
        <v>38</v>
      </c>
      <c r="L44" s="33"/>
      <c r="M44" s="39" t="s">
        <v>71</v>
      </c>
      <c r="N44" s="40" t="s">
        <v>27</v>
      </c>
      <c r="O44" s="41">
        <v>3</v>
      </c>
      <c r="P44" s="42">
        <v>1</v>
      </c>
      <c r="Q44" s="43">
        <v>45395</v>
      </c>
      <c r="R44" s="55" t="s">
        <v>44</v>
      </c>
      <c r="S44" s="44">
        <v>11277</v>
      </c>
      <c r="T44" s="45">
        <v>17323245</v>
      </c>
    </row>
    <row r="45" spans="1:20" s="48" customFormat="1" ht="21" customHeight="1" x14ac:dyDescent="0.75">
      <c r="A45" s="33">
        <f t="shared" si="0"/>
        <v>38</v>
      </c>
      <c r="B45" s="38">
        <v>2871200282</v>
      </c>
      <c r="C45" s="32" t="s">
        <v>98</v>
      </c>
      <c r="D45" s="33" t="s">
        <v>30</v>
      </c>
      <c r="E45" s="39">
        <v>31932</v>
      </c>
      <c r="F45" s="33" t="s">
        <v>23</v>
      </c>
      <c r="G45" s="33" t="s">
        <v>248</v>
      </c>
      <c r="H45" s="33" t="s">
        <v>24</v>
      </c>
      <c r="I45" s="39">
        <v>42278</v>
      </c>
      <c r="J45" s="39">
        <v>42644</v>
      </c>
      <c r="K45" s="33" t="s">
        <v>99</v>
      </c>
      <c r="L45" s="33"/>
      <c r="M45" s="39" t="s">
        <v>71</v>
      </c>
      <c r="N45" s="40" t="s">
        <v>27</v>
      </c>
      <c r="O45" s="41">
        <v>2</v>
      </c>
      <c r="P45" s="42">
        <v>4</v>
      </c>
      <c r="Q45" s="43">
        <v>45760</v>
      </c>
      <c r="R45" s="55" t="s">
        <v>209</v>
      </c>
      <c r="S45" s="44">
        <v>2319</v>
      </c>
      <c r="T45" s="45" t="s">
        <v>210</v>
      </c>
    </row>
    <row r="46" spans="1:20" s="46" customFormat="1" ht="21" customHeight="1" x14ac:dyDescent="0.75">
      <c r="A46" s="33">
        <f t="shared" si="0"/>
        <v>39</v>
      </c>
      <c r="B46" s="38">
        <v>1880400152</v>
      </c>
      <c r="C46" s="49" t="s">
        <v>100</v>
      </c>
      <c r="D46" s="33" t="s">
        <v>22</v>
      </c>
      <c r="E46" s="39">
        <v>32181</v>
      </c>
      <c r="F46" s="33" t="s">
        <v>31</v>
      </c>
      <c r="G46" s="33" t="s">
        <v>38</v>
      </c>
      <c r="H46" s="33" t="s">
        <v>24</v>
      </c>
      <c r="I46" s="39">
        <v>42278</v>
      </c>
      <c r="J46" s="39">
        <v>42644</v>
      </c>
      <c r="K46" s="33" t="s">
        <v>38</v>
      </c>
      <c r="L46" s="33"/>
      <c r="M46" s="39" t="s">
        <v>59</v>
      </c>
      <c r="N46" s="40" t="s">
        <v>27</v>
      </c>
      <c r="O46" s="41">
        <v>3</v>
      </c>
      <c r="P46" s="42">
        <v>1</v>
      </c>
      <c r="Q46" s="43">
        <v>45395</v>
      </c>
      <c r="R46" s="55" t="s">
        <v>44</v>
      </c>
      <c r="S46" s="44">
        <v>11268</v>
      </c>
      <c r="T46" s="45">
        <v>974545387</v>
      </c>
    </row>
    <row r="47" spans="1:20" s="46" customFormat="1" ht="21" customHeight="1" x14ac:dyDescent="0.75">
      <c r="A47" s="33">
        <f t="shared" si="0"/>
        <v>40</v>
      </c>
      <c r="B47" s="38">
        <v>1880500028</v>
      </c>
      <c r="C47" s="32" t="s">
        <v>101</v>
      </c>
      <c r="D47" s="33" t="s">
        <v>22</v>
      </c>
      <c r="E47" s="39">
        <v>32250</v>
      </c>
      <c r="F47" s="33" t="s">
        <v>31</v>
      </c>
      <c r="G47" s="33" t="s">
        <v>61</v>
      </c>
      <c r="H47" s="33" t="s">
        <v>24</v>
      </c>
      <c r="I47" s="39">
        <v>40087</v>
      </c>
      <c r="J47" s="39">
        <v>40452</v>
      </c>
      <c r="K47" s="33" t="s">
        <v>61</v>
      </c>
      <c r="L47" s="33"/>
      <c r="M47" s="39" t="s">
        <v>59</v>
      </c>
      <c r="N47" s="40" t="s">
        <v>27</v>
      </c>
      <c r="O47" s="41">
        <v>3</v>
      </c>
      <c r="P47" s="42">
        <v>2</v>
      </c>
      <c r="Q47" s="43">
        <v>45395</v>
      </c>
      <c r="R47" s="55" t="s">
        <v>44</v>
      </c>
      <c r="S47" s="44">
        <v>11436</v>
      </c>
      <c r="T47" s="45">
        <v>963287036</v>
      </c>
    </row>
    <row r="48" spans="1:20" s="46" customFormat="1" ht="21" customHeight="1" x14ac:dyDescent="0.75">
      <c r="A48" s="33">
        <f t="shared" si="0"/>
        <v>41</v>
      </c>
      <c r="B48" s="33">
        <v>2882100190</v>
      </c>
      <c r="C48" s="47" t="s">
        <v>102</v>
      </c>
      <c r="D48" s="33" t="s">
        <v>30</v>
      </c>
      <c r="E48" s="39">
        <v>32249</v>
      </c>
      <c r="F48" s="33" t="s">
        <v>31</v>
      </c>
      <c r="G48" s="33" t="s">
        <v>61</v>
      </c>
      <c r="H48" s="33" t="s">
        <v>24</v>
      </c>
      <c r="I48" s="39">
        <v>40817</v>
      </c>
      <c r="J48" s="39">
        <v>38261</v>
      </c>
      <c r="K48" s="33" t="s">
        <v>61</v>
      </c>
      <c r="L48" s="33"/>
      <c r="M48" s="39" t="s">
        <v>59</v>
      </c>
      <c r="N48" s="40" t="s">
        <v>27</v>
      </c>
      <c r="O48" s="41">
        <v>2</v>
      </c>
      <c r="P48" s="42">
        <v>4</v>
      </c>
      <c r="Q48" s="43">
        <v>45395</v>
      </c>
      <c r="R48" s="55" t="s">
        <v>49</v>
      </c>
      <c r="S48" s="44">
        <v>5652</v>
      </c>
      <c r="T48" s="45">
        <v>967089206</v>
      </c>
    </row>
    <row r="49" spans="1:20" s="46" customFormat="1" ht="21" customHeight="1" x14ac:dyDescent="0.75">
      <c r="A49" s="33">
        <f t="shared" si="0"/>
        <v>42</v>
      </c>
      <c r="B49" s="38">
        <v>2880800122</v>
      </c>
      <c r="C49" s="32" t="s">
        <v>103</v>
      </c>
      <c r="D49" s="33" t="s">
        <v>30</v>
      </c>
      <c r="E49" s="39">
        <v>32300</v>
      </c>
      <c r="F49" s="33" t="s">
        <v>31</v>
      </c>
      <c r="G49" s="33" t="s">
        <v>234</v>
      </c>
      <c r="H49" s="33" t="s">
        <v>24</v>
      </c>
      <c r="I49" s="39">
        <v>40452</v>
      </c>
      <c r="J49" s="39">
        <v>40817.25</v>
      </c>
      <c r="K49" s="33" t="s">
        <v>51</v>
      </c>
      <c r="L49" s="33" t="s">
        <v>32</v>
      </c>
      <c r="M49" s="39" t="s">
        <v>59</v>
      </c>
      <c r="N49" s="40" t="s">
        <v>27</v>
      </c>
      <c r="O49" s="41">
        <v>2</v>
      </c>
      <c r="P49" s="42">
        <v>2</v>
      </c>
      <c r="Q49" s="43">
        <v>45395</v>
      </c>
      <c r="R49" s="55" t="s">
        <v>49</v>
      </c>
      <c r="S49" s="44">
        <v>2246</v>
      </c>
      <c r="T49" s="45">
        <v>12824248</v>
      </c>
    </row>
    <row r="50" spans="1:20" s="48" customFormat="1" ht="21" customHeight="1" x14ac:dyDescent="0.75">
      <c r="A50" s="33">
        <f t="shared" si="0"/>
        <v>43</v>
      </c>
      <c r="B50" s="38">
        <v>1880300204</v>
      </c>
      <c r="C50" s="32" t="s">
        <v>104</v>
      </c>
      <c r="D50" s="33" t="s">
        <v>22</v>
      </c>
      <c r="E50" s="39">
        <v>32425</v>
      </c>
      <c r="F50" s="33" t="s">
        <v>31</v>
      </c>
      <c r="G50" s="33" t="s">
        <v>42</v>
      </c>
      <c r="H50" s="33" t="s">
        <v>24</v>
      </c>
      <c r="I50" s="39">
        <v>41183</v>
      </c>
      <c r="J50" s="39">
        <v>41548.25</v>
      </c>
      <c r="K50" s="33" t="s">
        <v>42</v>
      </c>
      <c r="L50" s="33" t="s">
        <v>61</v>
      </c>
      <c r="M50" s="39" t="s">
        <v>59</v>
      </c>
      <c r="N50" s="40" t="s">
        <v>27</v>
      </c>
      <c r="O50" s="41">
        <v>2</v>
      </c>
      <c r="P50" s="42">
        <v>3</v>
      </c>
      <c r="Q50" s="43">
        <v>45395</v>
      </c>
      <c r="R50" s="55" t="s">
        <v>49</v>
      </c>
      <c r="S50" s="44">
        <v>2564</v>
      </c>
      <c r="T50" s="45">
        <v>86998766</v>
      </c>
    </row>
    <row r="51" spans="1:20" s="46" customFormat="1" ht="21" customHeight="1" x14ac:dyDescent="0.75">
      <c r="A51" s="33">
        <f t="shared" si="0"/>
        <v>44</v>
      </c>
      <c r="B51" s="38">
        <v>1890700132</v>
      </c>
      <c r="C51" s="50" t="s">
        <v>105</v>
      </c>
      <c r="D51" s="33" t="s">
        <v>22</v>
      </c>
      <c r="E51" s="39">
        <v>32525</v>
      </c>
      <c r="F51" s="33" t="s">
        <v>23</v>
      </c>
      <c r="G51" s="33" t="s">
        <v>25</v>
      </c>
      <c r="H51" s="33" t="s">
        <v>24</v>
      </c>
      <c r="I51" s="39">
        <v>41183</v>
      </c>
      <c r="J51" s="39">
        <v>41548.25</v>
      </c>
      <c r="K51" s="33" t="s">
        <v>106</v>
      </c>
      <c r="L51" s="33" t="s">
        <v>35</v>
      </c>
      <c r="M51" s="39" t="s">
        <v>59</v>
      </c>
      <c r="N51" s="40" t="s">
        <v>27</v>
      </c>
      <c r="O51" s="41">
        <v>2</v>
      </c>
      <c r="P51" s="42">
        <v>3</v>
      </c>
      <c r="Q51" s="43">
        <v>45395</v>
      </c>
      <c r="R51" s="55" t="s">
        <v>49</v>
      </c>
      <c r="S51" s="44">
        <v>2567</v>
      </c>
      <c r="T51" s="45">
        <v>15676743</v>
      </c>
    </row>
    <row r="52" spans="1:20" s="46" customFormat="1" ht="21" customHeight="1" x14ac:dyDescent="0.75">
      <c r="A52" s="33">
        <f t="shared" si="0"/>
        <v>45</v>
      </c>
      <c r="B52" s="38">
        <v>2890300281</v>
      </c>
      <c r="C52" s="32" t="s">
        <v>107</v>
      </c>
      <c r="D52" s="33" t="s">
        <v>30</v>
      </c>
      <c r="E52" s="39">
        <v>32685</v>
      </c>
      <c r="F52" s="33" t="s">
        <v>31</v>
      </c>
      <c r="G52" s="33" t="s">
        <v>106</v>
      </c>
      <c r="H52" s="33" t="s">
        <v>24</v>
      </c>
      <c r="I52" s="39">
        <v>41548</v>
      </c>
      <c r="J52" s="39">
        <v>41913.25</v>
      </c>
      <c r="K52" s="33" t="s">
        <v>106</v>
      </c>
      <c r="L52" s="33" t="s">
        <v>35</v>
      </c>
      <c r="M52" s="39" t="s">
        <v>59</v>
      </c>
      <c r="N52" s="40" t="s">
        <v>27</v>
      </c>
      <c r="O52" s="41">
        <v>2</v>
      </c>
      <c r="P52" s="42">
        <v>3</v>
      </c>
      <c r="Q52" s="43">
        <v>45395</v>
      </c>
      <c r="R52" s="55" t="s">
        <v>49</v>
      </c>
      <c r="S52" s="44">
        <v>4224</v>
      </c>
      <c r="T52" s="45">
        <v>15402608</v>
      </c>
    </row>
    <row r="53" spans="1:20" s="46" customFormat="1" ht="21" customHeight="1" x14ac:dyDescent="0.75">
      <c r="A53" s="33">
        <f t="shared" si="0"/>
        <v>46</v>
      </c>
      <c r="B53" s="38">
        <v>1892100278</v>
      </c>
      <c r="C53" s="50" t="s">
        <v>108</v>
      </c>
      <c r="D53" s="33" t="s">
        <v>22</v>
      </c>
      <c r="E53" s="39">
        <v>32740</v>
      </c>
      <c r="F53" s="33" t="s">
        <v>31</v>
      </c>
      <c r="G53" s="33" t="s">
        <v>42</v>
      </c>
      <c r="H53" s="33" t="s">
        <v>24</v>
      </c>
      <c r="I53" s="39">
        <v>41913</v>
      </c>
      <c r="J53" s="39">
        <v>42278.25</v>
      </c>
      <c r="K53" s="33" t="s">
        <v>42</v>
      </c>
      <c r="L53" s="33" t="s">
        <v>61</v>
      </c>
      <c r="M53" s="39" t="s">
        <v>59</v>
      </c>
      <c r="N53" s="40" t="s">
        <v>27</v>
      </c>
      <c r="O53" s="41">
        <v>2</v>
      </c>
      <c r="P53" s="42">
        <v>4</v>
      </c>
      <c r="Q53" s="43">
        <v>45395</v>
      </c>
      <c r="R53" s="55" t="s">
        <v>49</v>
      </c>
      <c r="S53" s="44">
        <v>5086</v>
      </c>
      <c r="T53" s="45">
        <v>15229959</v>
      </c>
    </row>
    <row r="54" spans="1:20" s="46" customFormat="1" ht="21" customHeight="1" x14ac:dyDescent="0.75">
      <c r="A54" s="33">
        <f t="shared" si="0"/>
        <v>47</v>
      </c>
      <c r="B54" s="38">
        <v>2890800247</v>
      </c>
      <c r="C54" s="32" t="s">
        <v>109</v>
      </c>
      <c r="D54" s="33" t="s">
        <v>30</v>
      </c>
      <c r="E54" s="39">
        <v>32753</v>
      </c>
      <c r="F54" s="33" t="s">
        <v>31</v>
      </c>
      <c r="G54" s="33" t="s">
        <v>32</v>
      </c>
      <c r="H54" s="33" t="s">
        <v>24</v>
      </c>
      <c r="I54" s="39">
        <v>41913</v>
      </c>
      <c r="J54" s="39">
        <v>42278.25</v>
      </c>
      <c r="K54" s="33" t="s">
        <v>32</v>
      </c>
      <c r="L54" s="33" t="s">
        <v>25</v>
      </c>
      <c r="M54" s="39" t="s">
        <v>59</v>
      </c>
      <c r="N54" s="40" t="s">
        <v>27</v>
      </c>
      <c r="O54" s="41">
        <v>2</v>
      </c>
      <c r="P54" s="42">
        <v>4</v>
      </c>
      <c r="Q54" s="43">
        <v>45395</v>
      </c>
      <c r="R54" s="55" t="s">
        <v>49</v>
      </c>
      <c r="S54" s="44">
        <v>5659</v>
      </c>
      <c r="T54" s="45">
        <v>965840922</v>
      </c>
    </row>
    <row r="55" spans="1:20" s="46" customFormat="1" ht="21" customHeight="1" x14ac:dyDescent="0.75">
      <c r="A55" s="33">
        <f t="shared" si="0"/>
        <v>48</v>
      </c>
      <c r="B55" s="33">
        <v>2900800238</v>
      </c>
      <c r="C55" s="47" t="s">
        <v>110</v>
      </c>
      <c r="D55" s="33" t="s">
        <v>30</v>
      </c>
      <c r="E55" s="39">
        <v>32878</v>
      </c>
      <c r="F55" s="33" t="s">
        <v>31</v>
      </c>
      <c r="G55" s="33"/>
      <c r="H55" s="33" t="s">
        <v>24</v>
      </c>
      <c r="I55" s="39">
        <v>41913</v>
      </c>
      <c r="J55" s="39">
        <v>42278.25</v>
      </c>
      <c r="K55" s="33" t="s">
        <v>51</v>
      </c>
      <c r="L55" s="33" t="s">
        <v>32</v>
      </c>
      <c r="M55" s="39" t="s">
        <v>59</v>
      </c>
      <c r="N55" s="40" t="s">
        <v>27</v>
      </c>
      <c r="O55" s="41">
        <v>2</v>
      </c>
      <c r="P55" s="42">
        <v>4</v>
      </c>
      <c r="Q55" s="43">
        <v>45395</v>
      </c>
      <c r="R55" s="55" t="s">
        <v>49</v>
      </c>
      <c r="S55" s="44">
        <v>5662</v>
      </c>
      <c r="T55" s="45">
        <v>977172445</v>
      </c>
    </row>
    <row r="56" spans="1:20" s="48" customFormat="1" ht="21" customHeight="1" x14ac:dyDescent="0.75">
      <c r="A56" s="33">
        <f t="shared" si="0"/>
        <v>49</v>
      </c>
      <c r="B56" s="38">
        <v>2900800046</v>
      </c>
      <c r="C56" s="32" t="s">
        <v>111</v>
      </c>
      <c r="D56" s="33" t="s">
        <v>30</v>
      </c>
      <c r="E56" s="39">
        <v>33204</v>
      </c>
      <c r="F56" s="33" t="s">
        <v>23</v>
      </c>
      <c r="G56" s="33" t="s">
        <v>61</v>
      </c>
      <c r="H56" s="33" t="s">
        <v>24</v>
      </c>
      <c r="I56" s="39">
        <v>40817</v>
      </c>
      <c r="J56" s="39">
        <v>41183</v>
      </c>
      <c r="K56" s="33" t="s">
        <v>61</v>
      </c>
      <c r="L56" s="33"/>
      <c r="M56" s="39" t="s">
        <v>59</v>
      </c>
      <c r="N56" s="40" t="s">
        <v>27</v>
      </c>
      <c r="O56" s="41">
        <v>2</v>
      </c>
      <c r="P56" s="42">
        <v>4</v>
      </c>
      <c r="Q56" s="43">
        <v>45760</v>
      </c>
      <c r="R56" s="55" t="s">
        <v>211</v>
      </c>
      <c r="S56" s="44">
        <v>2330</v>
      </c>
      <c r="T56" s="45" t="s">
        <v>212</v>
      </c>
    </row>
    <row r="57" spans="1:20" s="48" customFormat="1" ht="21" customHeight="1" x14ac:dyDescent="0.75">
      <c r="A57" s="33">
        <f t="shared" si="0"/>
        <v>50</v>
      </c>
      <c r="B57" s="38">
        <v>1910800279</v>
      </c>
      <c r="C57" s="32" t="s">
        <v>112</v>
      </c>
      <c r="D57" s="33" t="s">
        <v>22</v>
      </c>
      <c r="E57" s="39">
        <v>33278</v>
      </c>
      <c r="F57" s="33" t="s">
        <v>31</v>
      </c>
      <c r="G57" s="33"/>
      <c r="H57" s="33" t="s">
        <v>24</v>
      </c>
      <c r="I57" s="39">
        <v>43009</v>
      </c>
      <c r="J57" s="39">
        <v>43374.25</v>
      </c>
      <c r="K57" s="33" t="s">
        <v>32</v>
      </c>
      <c r="L57" s="33"/>
      <c r="M57" s="39" t="s">
        <v>59</v>
      </c>
      <c r="N57" s="40" t="s">
        <v>27</v>
      </c>
      <c r="O57" s="41">
        <v>3</v>
      </c>
      <c r="P57" s="42">
        <v>1</v>
      </c>
      <c r="Q57" s="43">
        <v>45395</v>
      </c>
      <c r="R57" s="55" t="s">
        <v>44</v>
      </c>
      <c r="S57" s="44">
        <v>11232</v>
      </c>
      <c r="T57" s="45">
        <v>962639240</v>
      </c>
    </row>
    <row r="58" spans="1:20" s="48" customFormat="1" ht="21" customHeight="1" x14ac:dyDescent="0.75">
      <c r="A58" s="33">
        <f t="shared" si="0"/>
        <v>51</v>
      </c>
      <c r="B58" s="38">
        <v>2910800175</v>
      </c>
      <c r="C58" s="32" t="s">
        <v>113</v>
      </c>
      <c r="D58" s="33" t="s">
        <v>30</v>
      </c>
      <c r="E58" s="39">
        <v>33310</v>
      </c>
      <c r="F58" s="33" t="s">
        <v>31</v>
      </c>
      <c r="G58" s="33" t="s">
        <v>25</v>
      </c>
      <c r="H58" s="33" t="s">
        <v>24</v>
      </c>
      <c r="I58" s="39">
        <v>41913</v>
      </c>
      <c r="J58" s="39">
        <v>42278.25</v>
      </c>
      <c r="K58" s="33" t="s">
        <v>106</v>
      </c>
      <c r="L58" s="33" t="s">
        <v>35</v>
      </c>
      <c r="M58" s="39" t="s">
        <v>59</v>
      </c>
      <c r="N58" s="40" t="s">
        <v>27</v>
      </c>
      <c r="O58" s="41">
        <v>2</v>
      </c>
      <c r="P58" s="42">
        <v>4</v>
      </c>
      <c r="Q58" s="43">
        <v>45395</v>
      </c>
      <c r="R58" s="55" t="s">
        <v>49</v>
      </c>
      <c r="S58" s="44">
        <v>5671</v>
      </c>
      <c r="T58" s="45">
        <v>81721875</v>
      </c>
    </row>
    <row r="59" spans="1:20" s="46" customFormat="1" ht="21" customHeight="1" x14ac:dyDescent="0.75">
      <c r="A59" s="33">
        <f t="shared" si="0"/>
        <v>52</v>
      </c>
      <c r="B59" s="38">
        <v>2910800233</v>
      </c>
      <c r="C59" s="32" t="s">
        <v>114</v>
      </c>
      <c r="D59" s="33" t="s">
        <v>30</v>
      </c>
      <c r="E59" s="39">
        <v>33489</v>
      </c>
      <c r="F59" s="33" t="s">
        <v>213</v>
      </c>
      <c r="G59" s="33" t="s">
        <v>25</v>
      </c>
      <c r="H59" s="33" t="s">
        <v>24</v>
      </c>
      <c r="I59" s="39">
        <v>42278</v>
      </c>
      <c r="J59" s="39">
        <v>42643.25</v>
      </c>
      <c r="K59" s="33" t="s">
        <v>25</v>
      </c>
      <c r="L59" s="33"/>
      <c r="M59" s="39" t="s">
        <v>59</v>
      </c>
      <c r="N59" s="40" t="s">
        <v>27</v>
      </c>
      <c r="O59" s="41">
        <v>2</v>
      </c>
      <c r="P59" s="42">
        <v>4</v>
      </c>
      <c r="Q59" s="43">
        <v>45760</v>
      </c>
      <c r="R59" s="55" t="s">
        <v>209</v>
      </c>
      <c r="S59" s="44">
        <v>2321</v>
      </c>
      <c r="T59" s="45" t="s">
        <v>214</v>
      </c>
    </row>
    <row r="60" spans="1:20" s="46" customFormat="1" ht="21" customHeight="1" x14ac:dyDescent="0.75">
      <c r="A60" s="33">
        <f t="shared" si="0"/>
        <v>53</v>
      </c>
      <c r="B60" s="38">
        <v>1920800070</v>
      </c>
      <c r="C60" s="50" t="s">
        <v>115</v>
      </c>
      <c r="D60" s="33" t="s">
        <v>22</v>
      </c>
      <c r="E60" s="39">
        <v>33706</v>
      </c>
      <c r="F60" s="33" t="s">
        <v>213</v>
      </c>
      <c r="G60" s="33"/>
      <c r="H60" s="33" t="s">
        <v>24</v>
      </c>
      <c r="I60" s="39">
        <v>41913</v>
      </c>
      <c r="J60" s="39">
        <v>42278.25</v>
      </c>
      <c r="K60" s="33" t="s">
        <v>38</v>
      </c>
      <c r="L60" s="33"/>
      <c r="M60" s="39" t="s">
        <v>59</v>
      </c>
      <c r="N60" s="40" t="s">
        <v>27</v>
      </c>
      <c r="O60" s="41">
        <v>3</v>
      </c>
      <c r="P60" s="42">
        <v>1</v>
      </c>
      <c r="Q60" s="43">
        <v>45760</v>
      </c>
      <c r="R60" s="55" t="s">
        <v>215</v>
      </c>
      <c r="S60" s="44">
        <v>4975</v>
      </c>
      <c r="T60" s="45" t="s">
        <v>216</v>
      </c>
    </row>
    <row r="61" spans="1:20" s="46" customFormat="1" ht="21" customHeight="1" x14ac:dyDescent="0.75">
      <c r="A61" s="33">
        <f t="shared" si="0"/>
        <v>54</v>
      </c>
      <c r="B61" s="38">
        <v>1921200004</v>
      </c>
      <c r="C61" s="32" t="s">
        <v>116</v>
      </c>
      <c r="D61" s="33" t="s">
        <v>22</v>
      </c>
      <c r="E61" s="39">
        <v>33769</v>
      </c>
      <c r="F61" s="33" t="s">
        <v>31</v>
      </c>
      <c r="G61" s="33" t="s">
        <v>241</v>
      </c>
      <c r="H61" s="33" t="s">
        <v>24</v>
      </c>
      <c r="I61" s="39">
        <v>41183</v>
      </c>
      <c r="J61" s="39">
        <v>41548.25</v>
      </c>
      <c r="K61" s="33" t="s">
        <v>51</v>
      </c>
      <c r="L61" s="33"/>
      <c r="M61" s="39" t="s">
        <v>59</v>
      </c>
      <c r="N61" s="40" t="s">
        <v>27</v>
      </c>
      <c r="O61" s="41">
        <v>3</v>
      </c>
      <c r="P61" s="42">
        <v>1</v>
      </c>
      <c r="Q61" s="43">
        <v>45395</v>
      </c>
      <c r="R61" s="55" t="s">
        <v>44</v>
      </c>
      <c r="S61" s="44">
        <v>11215</v>
      </c>
      <c r="T61" s="45">
        <v>92585567</v>
      </c>
    </row>
    <row r="62" spans="1:20" s="46" customFormat="1" ht="21" customHeight="1" x14ac:dyDescent="0.75">
      <c r="A62" s="33">
        <f t="shared" si="0"/>
        <v>55</v>
      </c>
      <c r="B62" s="38">
        <v>2920800164</v>
      </c>
      <c r="C62" s="32" t="s">
        <v>117</v>
      </c>
      <c r="D62" s="33" t="s">
        <v>30</v>
      </c>
      <c r="E62" s="39">
        <v>33958</v>
      </c>
      <c r="F62" s="33" t="s">
        <v>213</v>
      </c>
      <c r="G62" s="33" t="s">
        <v>25</v>
      </c>
      <c r="H62" s="33" t="s">
        <v>24</v>
      </c>
      <c r="I62" s="39">
        <v>42278</v>
      </c>
      <c r="J62" s="39">
        <v>42643.25</v>
      </c>
      <c r="K62" s="33" t="s">
        <v>25</v>
      </c>
      <c r="L62" s="33"/>
      <c r="M62" s="39" t="s">
        <v>59</v>
      </c>
      <c r="N62" s="40" t="s">
        <v>27</v>
      </c>
      <c r="O62" s="41">
        <v>2</v>
      </c>
      <c r="P62" s="42">
        <v>4</v>
      </c>
      <c r="Q62" s="43">
        <v>45760</v>
      </c>
      <c r="R62" s="55" t="s">
        <v>209</v>
      </c>
      <c r="S62" s="44">
        <v>2320</v>
      </c>
      <c r="T62" s="45" t="s">
        <v>217</v>
      </c>
    </row>
    <row r="63" spans="1:20" s="48" customFormat="1" ht="21" customHeight="1" x14ac:dyDescent="0.75">
      <c r="A63" s="33">
        <f t="shared" si="0"/>
        <v>56</v>
      </c>
      <c r="B63" s="38">
        <v>2930800311</v>
      </c>
      <c r="C63" s="32" t="s">
        <v>118</v>
      </c>
      <c r="D63" s="33" t="s">
        <v>30</v>
      </c>
      <c r="E63" s="39">
        <v>34218</v>
      </c>
      <c r="F63" s="33" t="s">
        <v>213</v>
      </c>
      <c r="G63" s="33" t="s">
        <v>241</v>
      </c>
      <c r="H63" s="33" t="s">
        <v>24</v>
      </c>
      <c r="I63" s="39">
        <v>43009</v>
      </c>
      <c r="J63" s="39">
        <v>43374.25</v>
      </c>
      <c r="K63" s="33" t="s">
        <v>51</v>
      </c>
      <c r="L63" s="33"/>
      <c r="M63" s="39" t="s">
        <v>59</v>
      </c>
      <c r="N63" s="40" t="s">
        <v>27</v>
      </c>
      <c r="O63" s="41">
        <v>3</v>
      </c>
      <c r="P63" s="42">
        <v>1</v>
      </c>
      <c r="Q63" s="43">
        <v>45760</v>
      </c>
      <c r="R63" s="55" t="s">
        <v>215</v>
      </c>
      <c r="S63" s="44">
        <v>4973</v>
      </c>
      <c r="T63" s="45" t="s">
        <v>218</v>
      </c>
    </row>
    <row r="64" spans="1:20" s="46" customFormat="1" ht="21" customHeight="1" x14ac:dyDescent="0.75">
      <c r="A64" s="33">
        <f t="shared" si="0"/>
        <v>57</v>
      </c>
      <c r="B64" s="33">
        <v>2931200078</v>
      </c>
      <c r="C64" s="47" t="s">
        <v>119</v>
      </c>
      <c r="D64" s="33" t="s">
        <v>30</v>
      </c>
      <c r="E64" s="39">
        <v>34223</v>
      </c>
      <c r="F64" s="33" t="s">
        <v>31</v>
      </c>
      <c r="G64" s="33" t="s">
        <v>38</v>
      </c>
      <c r="H64" s="33" t="s">
        <v>24</v>
      </c>
      <c r="I64" s="39">
        <v>42675</v>
      </c>
      <c r="J64" s="39">
        <v>43040.25</v>
      </c>
      <c r="K64" s="33" t="s">
        <v>38</v>
      </c>
      <c r="L64" s="33"/>
      <c r="M64" s="39" t="s">
        <v>59</v>
      </c>
      <c r="N64" s="40" t="s">
        <v>27</v>
      </c>
      <c r="O64" s="41">
        <v>3</v>
      </c>
      <c r="P64" s="42">
        <v>1</v>
      </c>
      <c r="Q64" s="43">
        <v>45395</v>
      </c>
      <c r="R64" s="55" t="s">
        <v>44</v>
      </c>
      <c r="S64" s="44">
        <v>11195</v>
      </c>
      <c r="T64" s="45">
        <v>966227796</v>
      </c>
    </row>
    <row r="65" spans="1:20" s="46" customFormat="1" ht="21" customHeight="1" x14ac:dyDescent="0.75">
      <c r="A65" s="33">
        <f t="shared" si="0"/>
        <v>58</v>
      </c>
      <c r="B65" s="38">
        <v>2930600030</v>
      </c>
      <c r="C65" s="50" t="s">
        <v>120</v>
      </c>
      <c r="D65" s="33" t="s">
        <v>30</v>
      </c>
      <c r="E65" s="39">
        <v>34223</v>
      </c>
      <c r="F65" s="33" t="s">
        <v>31</v>
      </c>
      <c r="G65" s="33" t="s">
        <v>38</v>
      </c>
      <c r="H65" s="33" t="s">
        <v>24</v>
      </c>
      <c r="I65" s="39">
        <v>41913</v>
      </c>
      <c r="J65" s="39">
        <v>42278.25</v>
      </c>
      <c r="K65" s="33" t="s">
        <v>38</v>
      </c>
      <c r="L65" s="33" t="s">
        <v>35</v>
      </c>
      <c r="M65" s="39" t="s">
        <v>71</v>
      </c>
      <c r="N65" s="40" t="s">
        <v>27</v>
      </c>
      <c r="O65" s="41">
        <v>2</v>
      </c>
      <c r="P65" s="42">
        <v>4</v>
      </c>
      <c r="Q65" s="43">
        <v>45395</v>
      </c>
      <c r="R65" s="55" t="s">
        <v>44</v>
      </c>
      <c r="S65" s="44">
        <v>5676</v>
      </c>
      <c r="T65" s="45">
        <v>70918212</v>
      </c>
    </row>
    <row r="66" spans="1:20" s="46" customFormat="1" ht="21" customHeight="1" x14ac:dyDescent="0.75">
      <c r="A66" s="33">
        <f t="shared" si="0"/>
        <v>59</v>
      </c>
      <c r="B66" s="38">
        <v>2931200153</v>
      </c>
      <c r="C66" s="32" t="s">
        <v>121</v>
      </c>
      <c r="D66" s="33" t="s">
        <v>30</v>
      </c>
      <c r="E66" s="39">
        <v>34230</v>
      </c>
      <c r="F66" s="33" t="s">
        <v>213</v>
      </c>
      <c r="G66" s="33" t="s">
        <v>67</v>
      </c>
      <c r="H66" s="33" t="s">
        <v>24</v>
      </c>
      <c r="I66" s="39">
        <v>43009</v>
      </c>
      <c r="J66" s="39">
        <v>43374.25</v>
      </c>
      <c r="K66" s="33" t="s">
        <v>67</v>
      </c>
      <c r="L66" s="33"/>
      <c r="M66" s="39" t="s">
        <v>59</v>
      </c>
      <c r="N66" s="40" t="s">
        <v>27</v>
      </c>
      <c r="O66" s="41">
        <v>3</v>
      </c>
      <c r="P66" s="42">
        <v>1</v>
      </c>
      <c r="Q66" s="43">
        <v>45760</v>
      </c>
      <c r="R66" s="55" t="s">
        <v>215</v>
      </c>
      <c r="S66" s="44">
        <v>4972</v>
      </c>
      <c r="T66" s="45" t="s">
        <v>219</v>
      </c>
    </row>
    <row r="67" spans="1:20" s="46" customFormat="1" ht="21" customHeight="1" x14ac:dyDescent="0.75">
      <c r="A67" s="33">
        <f t="shared" si="0"/>
        <v>60</v>
      </c>
      <c r="B67" s="38">
        <v>2942100173</v>
      </c>
      <c r="C67" s="32" t="s">
        <v>122</v>
      </c>
      <c r="D67" s="33" t="s">
        <v>30</v>
      </c>
      <c r="E67" s="39">
        <v>34371</v>
      </c>
      <c r="F67" s="33" t="s">
        <v>213</v>
      </c>
      <c r="G67" s="33" t="s">
        <v>249</v>
      </c>
      <c r="H67" s="33" t="s">
        <v>24</v>
      </c>
      <c r="I67" s="39">
        <v>43009</v>
      </c>
      <c r="J67" s="39">
        <v>43374.25</v>
      </c>
      <c r="K67" s="33" t="s">
        <v>51</v>
      </c>
      <c r="L67" s="33"/>
      <c r="M67" s="39" t="s">
        <v>71</v>
      </c>
      <c r="N67" s="40" t="s">
        <v>27</v>
      </c>
      <c r="O67" s="41">
        <v>3</v>
      </c>
      <c r="P67" s="42">
        <v>1</v>
      </c>
      <c r="Q67" s="43">
        <v>45760</v>
      </c>
      <c r="R67" s="55" t="s">
        <v>215</v>
      </c>
      <c r="S67" s="44">
        <v>4974</v>
      </c>
      <c r="T67" s="45" t="s">
        <v>220</v>
      </c>
    </row>
    <row r="68" spans="1:20" s="48" customFormat="1" ht="21" customHeight="1" x14ac:dyDescent="0.75">
      <c r="A68" s="33">
        <f t="shared" si="0"/>
        <v>61</v>
      </c>
      <c r="B68" s="38">
        <v>1940800003</v>
      </c>
      <c r="C68" s="32" t="s">
        <v>123</v>
      </c>
      <c r="D68" s="33" t="s">
        <v>22</v>
      </c>
      <c r="E68" s="39">
        <v>34387</v>
      </c>
      <c r="F68" s="33" t="s">
        <v>31</v>
      </c>
      <c r="G68" s="33" t="s">
        <v>250</v>
      </c>
      <c r="H68" s="33" t="s">
        <v>24</v>
      </c>
      <c r="I68" s="39">
        <v>41548</v>
      </c>
      <c r="J68" s="39">
        <v>41913</v>
      </c>
      <c r="K68" s="33" t="s">
        <v>61</v>
      </c>
      <c r="L68" s="33"/>
      <c r="M68" s="39" t="s">
        <v>59</v>
      </c>
      <c r="N68" s="40" t="s">
        <v>27</v>
      </c>
      <c r="O68" s="41">
        <v>3</v>
      </c>
      <c r="P68" s="42">
        <v>1</v>
      </c>
      <c r="Q68" s="43">
        <v>45395</v>
      </c>
      <c r="R68" s="55" t="s">
        <v>44</v>
      </c>
      <c r="S68" s="44">
        <v>11194</v>
      </c>
      <c r="T68" s="45">
        <v>86684895</v>
      </c>
    </row>
    <row r="69" spans="1:20" s="46" customFormat="1" ht="21" customHeight="1" x14ac:dyDescent="0.75">
      <c r="A69" s="33">
        <f t="shared" si="0"/>
        <v>62</v>
      </c>
      <c r="B69" s="38">
        <v>1951200093</v>
      </c>
      <c r="C69" s="50" t="s">
        <v>124</v>
      </c>
      <c r="D69" s="33" t="s">
        <v>22</v>
      </c>
      <c r="E69" s="39">
        <v>34991</v>
      </c>
      <c r="F69" s="33" t="s">
        <v>31</v>
      </c>
      <c r="G69" s="33" t="s">
        <v>61</v>
      </c>
      <c r="H69" s="33" t="s">
        <v>24</v>
      </c>
      <c r="I69" s="39">
        <v>43374</v>
      </c>
      <c r="J69" s="39">
        <v>43739.25</v>
      </c>
      <c r="K69" s="33" t="s">
        <v>61</v>
      </c>
      <c r="L69" s="33"/>
      <c r="M69" s="39" t="s">
        <v>59</v>
      </c>
      <c r="N69" s="40" t="s">
        <v>27</v>
      </c>
      <c r="O69" s="41">
        <v>3</v>
      </c>
      <c r="P69" s="42">
        <v>2</v>
      </c>
      <c r="Q69" s="43">
        <v>45395</v>
      </c>
      <c r="R69" s="55" t="s">
        <v>44</v>
      </c>
      <c r="S69" s="44">
        <v>11350</v>
      </c>
      <c r="T69" s="45">
        <v>70662032</v>
      </c>
    </row>
    <row r="70" spans="1:20" s="46" customFormat="1" ht="21" customHeight="1" x14ac:dyDescent="0.75">
      <c r="A70" s="33">
        <f t="shared" si="0"/>
        <v>63</v>
      </c>
      <c r="B70" s="38">
        <v>2680800383</v>
      </c>
      <c r="C70" s="32" t="s">
        <v>125</v>
      </c>
      <c r="D70" s="33" t="s">
        <v>30</v>
      </c>
      <c r="E70" s="39">
        <v>24932</v>
      </c>
      <c r="F70" s="33" t="s">
        <v>126</v>
      </c>
      <c r="G70" s="33"/>
      <c r="H70" s="33" t="s">
        <v>41</v>
      </c>
      <c r="I70" s="39">
        <v>33351</v>
      </c>
      <c r="J70" s="39">
        <v>33716.25</v>
      </c>
      <c r="K70" s="33" t="s">
        <v>127</v>
      </c>
      <c r="L70" s="33"/>
      <c r="M70" s="39" t="s">
        <v>71</v>
      </c>
      <c r="N70" s="40" t="s">
        <v>43</v>
      </c>
      <c r="O70" s="41">
        <v>1</v>
      </c>
      <c r="P70" s="42">
        <v>5</v>
      </c>
      <c r="Q70" s="43">
        <v>45395</v>
      </c>
      <c r="R70" s="55" t="s">
        <v>44</v>
      </c>
      <c r="S70" s="44">
        <v>11734</v>
      </c>
      <c r="T70" s="45">
        <v>888425056</v>
      </c>
    </row>
    <row r="71" spans="1:20" s="46" customFormat="1" ht="21" customHeight="1" x14ac:dyDescent="0.75">
      <c r="A71" s="33">
        <f t="shared" si="0"/>
        <v>64</v>
      </c>
      <c r="B71" s="38">
        <v>2681200350</v>
      </c>
      <c r="C71" s="32" t="s">
        <v>128</v>
      </c>
      <c r="D71" s="33" t="s">
        <v>30</v>
      </c>
      <c r="E71" s="39">
        <v>25058</v>
      </c>
      <c r="F71" s="33" t="s">
        <v>31</v>
      </c>
      <c r="G71" s="33" t="s">
        <v>38</v>
      </c>
      <c r="H71" s="33" t="s">
        <v>41</v>
      </c>
      <c r="I71" s="39">
        <v>32098</v>
      </c>
      <c r="J71" s="39">
        <v>32463.25</v>
      </c>
      <c r="K71" s="33" t="s">
        <v>42</v>
      </c>
      <c r="L71" s="33" t="s">
        <v>38</v>
      </c>
      <c r="M71" s="39" t="s">
        <v>59</v>
      </c>
      <c r="N71" s="40" t="s">
        <v>43</v>
      </c>
      <c r="O71" s="41">
        <v>1</v>
      </c>
      <c r="P71" s="42">
        <v>4</v>
      </c>
      <c r="Q71" s="43">
        <v>45395</v>
      </c>
      <c r="R71" s="55" t="s">
        <v>44</v>
      </c>
      <c r="S71" s="44">
        <v>11599</v>
      </c>
      <c r="T71" s="45">
        <v>92782816</v>
      </c>
    </row>
    <row r="72" spans="1:20" s="46" customFormat="1" ht="21" customHeight="1" x14ac:dyDescent="0.75">
      <c r="A72" s="33">
        <f t="shared" si="0"/>
        <v>65</v>
      </c>
      <c r="B72" s="38">
        <v>1690800661</v>
      </c>
      <c r="C72" s="32" t="s">
        <v>129</v>
      </c>
      <c r="D72" s="33" t="s">
        <v>22</v>
      </c>
      <c r="E72" s="39">
        <v>25240</v>
      </c>
      <c r="F72" s="33" t="s">
        <v>95</v>
      </c>
      <c r="G72" s="33"/>
      <c r="H72" s="33" t="s">
        <v>41</v>
      </c>
      <c r="I72" s="39">
        <v>33876</v>
      </c>
      <c r="J72" s="39">
        <v>34241.25</v>
      </c>
      <c r="K72" s="33" t="s">
        <v>67</v>
      </c>
      <c r="L72" s="33"/>
      <c r="M72" s="39" t="s">
        <v>59</v>
      </c>
      <c r="N72" s="40" t="s">
        <v>43</v>
      </c>
      <c r="O72" s="41">
        <v>1</v>
      </c>
      <c r="P72" s="42">
        <v>6</v>
      </c>
      <c r="Q72" s="43">
        <v>45395</v>
      </c>
      <c r="R72" s="55" t="s">
        <v>44</v>
      </c>
      <c r="S72" s="44">
        <v>14102</v>
      </c>
      <c r="T72" s="45">
        <v>89702119</v>
      </c>
    </row>
    <row r="73" spans="1:20" s="46" customFormat="1" ht="21" customHeight="1" x14ac:dyDescent="0.75">
      <c r="A73" s="33">
        <f t="shared" ref="A73:A126" si="1">A72+1</f>
        <v>66</v>
      </c>
      <c r="B73" s="38">
        <v>1700800655</v>
      </c>
      <c r="C73" s="32" t="s">
        <v>130</v>
      </c>
      <c r="D73" s="33" t="s">
        <v>22</v>
      </c>
      <c r="E73" s="39">
        <v>25628</v>
      </c>
      <c r="F73" s="33" t="s">
        <v>95</v>
      </c>
      <c r="G73" s="33"/>
      <c r="H73" s="33" t="s">
        <v>41</v>
      </c>
      <c r="I73" s="39">
        <v>34261</v>
      </c>
      <c r="J73" s="39">
        <v>34626.25</v>
      </c>
      <c r="K73" s="33" t="s">
        <v>67</v>
      </c>
      <c r="L73" s="33"/>
      <c r="M73" s="39" t="s">
        <v>59</v>
      </c>
      <c r="N73" s="40" t="s">
        <v>43</v>
      </c>
      <c r="O73" s="41">
        <v>1</v>
      </c>
      <c r="P73" s="42">
        <v>6</v>
      </c>
      <c r="Q73" s="43">
        <v>45395</v>
      </c>
      <c r="R73" s="55" t="s">
        <v>44</v>
      </c>
      <c r="S73" s="44">
        <v>14386</v>
      </c>
      <c r="T73" s="45">
        <v>978262507</v>
      </c>
    </row>
    <row r="74" spans="1:20" s="46" customFormat="1" ht="21" customHeight="1" x14ac:dyDescent="0.75">
      <c r="A74" s="33">
        <f t="shared" si="1"/>
        <v>67</v>
      </c>
      <c r="B74" s="38">
        <v>2700800375</v>
      </c>
      <c r="C74" s="32" t="s">
        <v>131</v>
      </c>
      <c r="D74" s="33" t="s">
        <v>30</v>
      </c>
      <c r="E74" s="39">
        <v>25762</v>
      </c>
      <c r="F74" s="33" t="s">
        <v>126</v>
      </c>
      <c r="G74" s="33" t="s">
        <v>234</v>
      </c>
      <c r="H74" s="33" t="s">
        <v>41</v>
      </c>
      <c r="I74" s="39">
        <v>33166</v>
      </c>
      <c r="J74" s="39">
        <v>33531.25</v>
      </c>
      <c r="K74" s="33" t="s">
        <v>132</v>
      </c>
      <c r="L74" s="33"/>
      <c r="M74" s="39" t="s">
        <v>59</v>
      </c>
      <c r="N74" s="40" t="s">
        <v>43</v>
      </c>
      <c r="O74" s="41">
        <v>1</v>
      </c>
      <c r="P74" s="42">
        <v>5</v>
      </c>
      <c r="Q74" s="43">
        <v>45395</v>
      </c>
      <c r="R74" s="55" t="s">
        <v>44</v>
      </c>
      <c r="S74" s="44">
        <v>11982</v>
      </c>
      <c r="T74" s="45">
        <v>70943462</v>
      </c>
    </row>
    <row r="75" spans="1:20" s="46" customFormat="1" ht="21" customHeight="1" x14ac:dyDescent="0.75">
      <c r="A75" s="33">
        <f t="shared" si="1"/>
        <v>68</v>
      </c>
      <c r="B75" s="38">
        <v>1700800657</v>
      </c>
      <c r="C75" s="32" t="s">
        <v>133</v>
      </c>
      <c r="D75" s="33" t="s">
        <v>22</v>
      </c>
      <c r="E75" s="39">
        <v>25867</v>
      </c>
      <c r="F75" s="33" t="s">
        <v>31</v>
      </c>
      <c r="G75" s="33" t="s">
        <v>251</v>
      </c>
      <c r="H75" s="33" t="s">
        <v>41</v>
      </c>
      <c r="I75" s="39">
        <v>32781</v>
      </c>
      <c r="J75" s="39">
        <v>33146.25</v>
      </c>
      <c r="K75" s="33" t="s">
        <v>35</v>
      </c>
      <c r="L75" s="33" t="s">
        <v>35</v>
      </c>
      <c r="M75" s="39" t="s">
        <v>59</v>
      </c>
      <c r="N75" s="40" t="s">
        <v>43</v>
      </c>
      <c r="O75" s="41">
        <v>1</v>
      </c>
      <c r="P75" s="42">
        <v>5</v>
      </c>
      <c r="Q75" s="43">
        <v>45395</v>
      </c>
      <c r="R75" s="55" t="s">
        <v>44</v>
      </c>
      <c r="S75" s="44">
        <v>11865</v>
      </c>
      <c r="T75" s="45">
        <v>98677991</v>
      </c>
    </row>
    <row r="76" spans="1:20" s="46" customFormat="1" ht="21" customHeight="1" x14ac:dyDescent="0.75">
      <c r="A76" s="33">
        <f t="shared" si="1"/>
        <v>69</v>
      </c>
      <c r="B76" s="38">
        <v>2720800275</v>
      </c>
      <c r="C76" s="32" t="s">
        <v>134</v>
      </c>
      <c r="D76" s="33" t="s">
        <v>30</v>
      </c>
      <c r="E76" s="39">
        <v>26309</v>
      </c>
      <c r="F76" s="33" t="s">
        <v>31</v>
      </c>
      <c r="G76" s="33" t="s">
        <v>234</v>
      </c>
      <c r="H76" s="33" t="s">
        <v>41</v>
      </c>
      <c r="I76" s="39">
        <v>33166</v>
      </c>
      <c r="J76" s="39">
        <v>33531.25</v>
      </c>
      <c r="K76" s="33" t="s">
        <v>132</v>
      </c>
      <c r="L76" s="33"/>
      <c r="M76" s="39" t="s">
        <v>59</v>
      </c>
      <c r="N76" s="40" t="s">
        <v>43</v>
      </c>
      <c r="O76" s="41">
        <v>1</v>
      </c>
      <c r="P76" s="42">
        <v>4</v>
      </c>
      <c r="Q76" s="43">
        <v>45395</v>
      </c>
      <c r="R76" s="55" t="s">
        <v>44</v>
      </c>
      <c r="S76" s="44">
        <v>11651</v>
      </c>
      <c r="T76" s="45">
        <v>81334679</v>
      </c>
    </row>
    <row r="77" spans="1:20" s="46" customFormat="1" ht="21" customHeight="1" x14ac:dyDescent="0.75">
      <c r="A77" s="33">
        <f t="shared" si="1"/>
        <v>70</v>
      </c>
      <c r="B77" s="38">
        <v>2720800274</v>
      </c>
      <c r="C77" s="32" t="s">
        <v>135</v>
      </c>
      <c r="D77" s="33" t="s">
        <v>30</v>
      </c>
      <c r="E77" s="39">
        <v>26365</v>
      </c>
      <c r="F77" s="33" t="s">
        <v>95</v>
      </c>
      <c r="G77" s="33"/>
      <c r="H77" s="33" t="s">
        <v>41</v>
      </c>
      <c r="I77" s="39">
        <v>33521</v>
      </c>
      <c r="J77" s="39">
        <v>33886.25</v>
      </c>
      <c r="K77" s="33" t="s">
        <v>132</v>
      </c>
      <c r="L77" s="33"/>
      <c r="M77" s="39" t="s">
        <v>59</v>
      </c>
      <c r="N77" s="40" t="s">
        <v>43</v>
      </c>
      <c r="O77" s="41">
        <v>1</v>
      </c>
      <c r="P77" s="42">
        <v>5</v>
      </c>
      <c r="Q77" s="43">
        <v>45395</v>
      </c>
      <c r="R77" s="55" t="s">
        <v>44</v>
      </c>
      <c r="S77" s="44">
        <v>11922</v>
      </c>
      <c r="T77" s="45">
        <v>81956929</v>
      </c>
    </row>
    <row r="78" spans="1:20" s="48" customFormat="1" ht="21" customHeight="1" x14ac:dyDescent="0.75">
      <c r="A78" s="33">
        <f t="shared" si="1"/>
        <v>71</v>
      </c>
      <c r="B78" s="38">
        <v>2720500026</v>
      </c>
      <c r="C78" s="32" t="s">
        <v>136</v>
      </c>
      <c r="D78" s="33" t="s">
        <v>30</v>
      </c>
      <c r="E78" s="39">
        <v>26640</v>
      </c>
      <c r="F78" s="33" t="s">
        <v>31</v>
      </c>
      <c r="G78" s="33" t="s">
        <v>241</v>
      </c>
      <c r="H78" s="33" t="s">
        <v>41</v>
      </c>
      <c r="I78" s="39">
        <v>32781</v>
      </c>
      <c r="J78" s="39">
        <v>33146.25</v>
      </c>
      <c r="K78" s="33" t="s">
        <v>132</v>
      </c>
      <c r="L78" s="33"/>
      <c r="M78" s="39" t="s">
        <v>59</v>
      </c>
      <c r="N78" s="40" t="s">
        <v>43</v>
      </c>
      <c r="O78" s="41">
        <v>1</v>
      </c>
      <c r="P78" s="42">
        <v>4</v>
      </c>
      <c r="Q78" s="43">
        <v>45395</v>
      </c>
      <c r="R78" s="55" t="s">
        <v>44</v>
      </c>
      <c r="S78" s="44">
        <v>11658</v>
      </c>
      <c r="T78" s="45">
        <v>15605690</v>
      </c>
    </row>
    <row r="79" spans="1:20" s="46" customFormat="1" ht="21" customHeight="1" x14ac:dyDescent="0.75">
      <c r="A79" s="33">
        <f t="shared" si="1"/>
        <v>72</v>
      </c>
      <c r="B79" s="38">
        <v>1730800591</v>
      </c>
      <c r="C79" s="32" t="s">
        <v>137</v>
      </c>
      <c r="D79" s="33" t="s">
        <v>22</v>
      </c>
      <c r="E79" s="39">
        <v>26706</v>
      </c>
      <c r="F79" s="33" t="s">
        <v>95</v>
      </c>
      <c r="G79" s="33"/>
      <c r="H79" s="33" t="s">
        <v>41</v>
      </c>
      <c r="I79" s="39">
        <v>33522</v>
      </c>
      <c r="J79" s="39">
        <v>33887.25</v>
      </c>
      <c r="K79" s="33" t="s">
        <v>61</v>
      </c>
      <c r="L79" s="33" t="s">
        <v>42</v>
      </c>
      <c r="M79" s="39" t="s">
        <v>59</v>
      </c>
      <c r="N79" s="40" t="s">
        <v>43</v>
      </c>
      <c r="O79" s="41">
        <v>1</v>
      </c>
      <c r="P79" s="42">
        <v>6</v>
      </c>
      <c r="Q79" s="43">
        <v>45395</v>
      </c>
      <c r="R79" s="55" t="s">
        <v>44</v>
      </c>
      <c r="S79" s="44">
        <v>14274</v>
      </c>
      <c r="T79" s="45">
        <v>69453350</v>
      </c>
    </row>
    <row r="80" spans="1:20" s="48" customFormat="1" ht="21" customHeight="1" x14ac:dyDescent="0.75">
      <c r="A80" s="33">
        <f t="shared" si="1"/>
        <v>73</v>
      </c>
      <c r="B80" s="38">
        <v>1730800595</v>
      </c>
      <c r="C80" s="47" t="s">
        <v>138</v>
      </c>
      <c r="D80" s="33" t="s">
        <v>22</v>
      </c>
      <c r="E80" s="39">
        <v>27001</v>
      </c>
      <c r="F80" s="33" t="s">
        <v>95</v>
      </c>
      <c r="G80" s="33"/>
      <c r="H80" s="33" t="s">
        <v>41</v>
      </c>
      <c r="I80" s="39">
        <v>33526</v>
      </c>
      <c r="J80" s="39">
        <v>33891.25</v>
      </c>
      <c r="K80" s="33" t="s">
        <v>132</v>
      </c>
      <c r="L80" s="33"/>
      <c r="M80" s="39" t="s">
        <v>59</v>
      </c>
      <c r="N80" s="40" t="s">
        <v>43</v>
      </c>
      <c r="O80" s="41">
        <v>2</v>
      </c>
      <c r="P80" s="42">
        <v>1</v>
      </c>
      <c r="Q80" s="43">
        <v>45395</v>
      </c>
      <c r="R80" s="55" t="s">
        <v>44</v>
      </c>
      <c r="S80" s="44">
        <v>29873</v>
      </c>
      <c r="T80" s="45">
        <v>77721116</v>
      </c>
    </row>
    <row r="81" spans="1:20" s="48" customFormat="1" ht="21" customHeight="1" x14ac:dyDescent="0.75">
      <c r="A81" s="33">
        <f t="shared" si="1"/>
        <v>74</v>
      </c>
      <c r="B81" s="38">
        <v>1740800453</v>
      </c>
      <c r="C81" s="32" t="s">
        <v>139</v>
      </c>
      <c r="D81" s="33" t="s">
        <v>22</v>
      </c>
      <c r="E81" s="39">
        <v>27365</v>
      </c>
      <c r="F81" s="33" t="s">
        <v>126</v>
      </c>
      <c r="G81" s="33"/>
      <c r="H81" s="33" t="s">
        <v>41</v>
      </c>
      <c r="I81" s="39">
        <v>34192</v>
      </c>
      <c r="J81" s="39">
        <v>34557.25</v>
      </c>
      <c r="K81" s="33" t="s">
        <v>140</v>
      </c>
      <c r="L81" s="33"/>
      <c r="M81" s="39" t="s">
        <v>59</v>
      </c>
      <c r="N81" s="40" t="s">
        <v>43</v>
      </c>
      <c r="O81" s="41">
        <v>1</v>
      </c>
      <c r="P81" s="42">
        <v>6</v>
      </c>
      <c r="Q81" s="43">
        <v>45395</v>
      </c>
      <c r="R81" s="55" t="s">
        <v>44</v>
      </c>
      <c r="S81" s="44">
        <v>14343</v>
      </c>
      <c r="T81" s="45">
        <v>12888196</v>
      </c>
    </row>
    <row r="82" spans="1:20" s="46" customFormat="1" ht="21" customHeight="1" x14ac:dyDescent="0.75">
      <c r="A82" s="33">
        <f t="shared" si="1"/>
        <v>75</v>
      </c>
      <c r="B82" s="38">
        <v>2761200018</v>
      </c>
      <c r="C82" s="32" t="s">
        <v>141</v>
      </c>
      <c r="D82" s="33" t="s">
        <v>30</v>
      </c>
      <c r="E82" s="39">
        <v>27838</v>
      </c>
      <c r="F82" s="33" t="s">
        <v>95</v>
      </c>
      <c r="G82" s="33" t="s">
        <v>252</v>
      </c>
      <c r="H82" s="33" t="s">
        <v>41</v>
      </c>
      <c r="I82" s="39">
        <v>36124</v>
      </c>
      <c r="J82" s="39">
        <v>36489.25</v>
      </c>
      <c r="K82" s="33" t="s">
        <v>140</v>
      </c>
      <c r="L82" s="33"/>
      <c r="M82" s="39" t="s">
        <v>71</v>
      </c>
      <c r="N82" s="40" t="s">
        <v>43</v>
      </c>
      <c r="O82" s="41">
        <v>1</v>
      </c>
      <c r="P82" s="42">
        <v>6</v>
      </c>
      <c r="Q82" s="43">
        <v>45395</v>
      </c>
      <c r="R82" s="55" t="s">
        <v>44</v>
      </c>
      <c r="S82" s="44">
        <v>14352</v>
      </c>
      <c r="T82" s="45">
        <v>962351542</v>
      </c>
    </row>
    <row r="83" spans="1:20" s="48" customFormat="1" ht="21" customHeight="1" x14ac:dyDescent="0.75">
      <c r="A83" s="33">
        <f t="shared" si="1"/>
        <v>76</v>
      </c>
      <c r="B83" s="38">
        <v>2790500007</v>
      </c>
      <c r="C83" s="32" t="s">
        <v>143</v>
      </c>
      <c r="D83" s="33" t="s">
        <v>30</v>
      </c>
      <c r="E83" s="39">
        <v>28865</v>
      </c>
      <c r="F83" s="33" t="s">
        <v>95</v>
      </c>
      <c r="G83" s="33" t="s">
        <v>253</v>
      </c>
      <c r="H83" s="33" t="s">
        <v>41</v>
      </c>
      <c r="I83" s="39">
        <v>36088</v>
      </c>
      <c r="J83" s="39">
        <v>36453.25</v>
      </c>
      <c r="K83" s="33" t="s">
        <v>140</v>
      </c>
      <c r="L83" s="39"/>
      <c r="M83" s="39" t="s">
        <v>71</v>
      </c>
      <c r="N83" s="40" t="s">
        <v>43</v>
      </c>
      <c r="O83" s="41">
        <v>1</v>
      </c>
      <c r="P83" s="42">
        <v>6</v>
      </c>
      <c r="Q83" s="43">
        <v>45395</v>
      </c>
      <c r="R83" s="55" t="s">
        <v>44</v>
      </c>
      <c r="S83" s="44">
        <v>14362</v>
      </c>
      <c r="T83" s="45">
        <v>962317542</v>
      </c>
    </row>
    <row r="84" spans="1:20" s="46" customFormat="1" ht="21" customHeight="1" x14ac:dyDescent="0.75">
      <c r="A84" s="33">
        <f t="shared" si="1"/>
        <v>77</v>
      </c>
      <c r="B84" s="38">
        <v>1790800265</v>
      </c>
      <c r="C84" s="32" t="s">
        <v>144</v>
      </c>
      <c r="D84" s="33" t="s">
        <v>22</v>
      </c>
      <c r="E84" s="39">
        <v>28986</v>
      </c>
      <c r="F84" s="33" t="s">
        <v>31</v>
      </c>
      <c r="G84" s="33" t="s">
        <v>47</v>
      </c>
      <c r="H84" s="33" t="s">
        <v>41</v>
      </c>
      <c r="I84" s="39">
        <v>37895</v>
      </c>
      <c r="J84" s="39">
        <v>38261</v>
      </c>
      <c r="K84" s="33" t="s">
        <v>132</v>
      </c>
      <c r="L84" s="33" t="s">
        <v>87</v>
      </c>
      <c r="M84" s="39" t="s">
        <v>71</v>
      </c>
      <c r="N84" s="40" t="s">
        <v>43</v>
      </c>
      <c r="O84" s="41">
        <v>2</v>
      </c>
      <c r="P84" s="42">
        <v>2</v>
      </c>
      <c r="Q84" s="43">
        <v>45395</v>
      </c>
      <c r="R84" s="55" t="s">
        <v>44</v>
      </c>
      <c r="S84" s="44">
        <v>12193</v>
      </c>
      <c r="T84" s="45">
        <v>77990005</v>
      </c>
    </row>
    <row r="85" spans="1:20" s="46" customFormat="1" ht="21" customHeight="1" x14ac:dyDescent="0.75">
      <c r="A85" s="33">
        <f t="shared" si="1"/>
        <v>78</v>
      </c>
      <c r="B85" s="38">
        <v>2790800073</v>
      </c>
      <c r="C85" s="32" t="s">
        <v>145</v>
      </c>
      <c r="D85" s="33" t="s">
        <v>30</v>
      </c>
      <c r="E85" s="39">
        <v>29162</v>
      </c>
      <c r="F85" s="33" t="s">
        <v>31</v>
      </c>
      <c r="G85" s="33" t="s">
        <v>254</v>
      </c>
      <c r="H85" s="33" t="s">
        <v>41</v>
      </c>
      <c r="I85" s="39">
        <v>36434</v>
      </c>
      <c r="J85" s="39">
        <v>36800</v>
      </c>
      <c r="K85" s="33" t="s">
        <v>146</v>
      </c>
      <c r="L85" s="33" t="s">
        <v>83</v>
      </c>
      <c r="M85" s="39" t="s">
        <v>59</v>
      </c>
      <c r="N85" s="40" t="s">
        <v>43</v>
      </c>
      <c r="O85" s="41">
        <v>2</v>
      </c>
      <c r="P85" s="42">
        <v>2</v>
      </c>
      <c r="Q85" s="43">
        <v>45395</v>
      </c>
      <c r="R85" s="55" t="s">
        <v>44</v>
      </c>
      <c r="S85" s="44">
        <v>12203</v>
      </c>
      <c r="T85" s="45">
        <v>93528389</v>
      </c>
    </row>
    <row r="86" spans="1:20" s="46" customFormat="1" ht="21" customHeight="1" x14ac:dyDescent="0.75">
      <c r="A86" s="33">
        <f t="shared" si="1"/>
        <v>79</v>
      </c>
      <c r="B86" s="38">
        <v>1800800177</v>
      </c>
      <c r="C86" s="32" t="s">
        <v>147</v>
      </c>
      <c r="D86" s="33" t="s">
        <v>22</v>
      </c>
      <c r="E86" s="39">
        <v>29232</v>
      </c>
      <c r="F86" s="33" t="s">
        <v>95</v>
      </c>
      <c r="G86" s="33"/>
      <c r="H86" s="33" t="s">
        <v>41</v>
      </c>
      <c r="I86" s="39">
        <v>37165</v>
      </c>
      <c r="J86" s="39">
        <v>37530.25</v>
      </c>
      <c r="K86" s="33" t="s">
        <v>140</v>
      </c>
      <c r="L86" s="33"/>
      <c r="M86" s="39" t="s">
        <v>71</v>
      </c>
      <c r="N86" s="40" t="s">
        <v>43</v>
      </c>
      <c r="O86" s="41">
        <v>2</v>
      </c>
      <c r="P86" s="42">
        <v>2</v>
      </c>
      <c r="Q86" s="43">
        <v>45395</v>
      </c>
      <c r="R86" s="55" t="s">
        <v>44</v>
      </c>
      <c r="S86" s="44">
        <v>12208</v>
      </c>
      <c r="T86" s="45">
        <v>12562054</v>
      </c>
    </row>
    <row r="87" spans="1:20" s="46" customFormat="1" ht="21" customHeight="1" x14ac:dyDescent="0.75">
      <c r="A87" s="33">
        <f t="shared" si="1"/>
        <v>80</v>
      </c>
      <c r="B87" s="38">
        <v>2800800258</v>
      </c>
      <c r="C87" s="32" t="s">
        <v>148</v>
      </c>
      <c r="D87" s="33" t="s">
        <v>30</v>
      </c>
      <c r="E87" s="39">
        <v>29234</v>
      </c>
      <c r="F87" s="33" t="s">
        <v>31</v>
      </c>
      <c r="G87" s="33" t="s">
        <v>66</v>
      </c>
      <c r="H87" s="33" t="s">
        <v>41</v>
      </c>
      <c r="I87" s="39">
        <v>38261</v>
      </c>
      <c r="J87" s="39">
        <v>38626.25</v>
      </c>
      <c r="K87" s="33" t="s">
        <v>140</v>
      </c>
      <c r="L87" s="33"/>
      <c r="M87" s="39" t="s">
        <v>71</v>
      </c>
      <c r="N87" s="40" t="s">
        <v>43</v>
      </c>
      <c r="O87" s="41">
        <v>2</v>
      </c>
      <c r="P87" s="42">
        <v>2</v>
      </c>
      <c r="Q87" s="43">
        <v>45395</v>
      </c>
      <c r="R87" s="55" t="s">
        <v>44</v>
      </c>
      <c r="S87" s="44">
        <v>12211</v>
      </c>
      <c r="T87" s="45">
        <v>15831737</v>
      </c>
    </row>
    <row r="88" spans="1:20" s="46" customFormat="1" ht="21" customHeight="1" x14ac:dyDescent="0.75">
      <c r="A88" s="33">
        <f t="shared" si="1"/>
        <v>81</v>
      </c>
      <c r="B88" s="38">
        <v>2800800062</v>
      </c>
      <c r="C88" s="32" t="s">
        <v>149</v>
      </c>
      <c r="D88" s="33" t="s">
        <v>30</v>
      </c>
      <c r="E88" s="39">
        <v>29355</v>
      </c>
      <c r="F88" s="33" t="s">
        <v>31</v>
      </c>
      <c r="G88" s="33" t="s">
        <v>66</v>
      </c>
      <c r="H88" s="33" t="s">
        <v>41</v>
      </c>
      <c r="I88" s="39">
        <v>36775</v>
      </c>
      <c r="J88" s="39">
        <v>37140.25</v>
      </c>
      <c r="K88" s="33" t="s">
        <v>85</v>
      </c>
      <c r="L88" s="33" t="s">
        <v>87</v>
      </c>
      <c r="M88" s="39" t="s">
        <v>71</v>
      </c>
      <c r="N88" s="40" t="s">
        <v>43</v>
      </c>
      <c r="O88" s="41">
        <v>1</v>
      </c>
      <c r="P88" s="42">
        <v>6</v>
      </c>
      <c r="Q88" s="43">
        <v>45395</v>
      </c>
      <c r="R88" s="55" t="s">
        <v>44</v>
      </c>
      <c r="S88" s="44">
        <v>14375</v>
      </c>
      <c r="T88" s="45">
        <v>93710892</v>
      </c>
    </row>
    <row r="89" spans="1:20" s="46" customFormat="1" ht="21" customHeight="1" x14ac:dyDescent="0.75">
      <c r="A89" s="33">
        <f t="shared" si="1"/>
        <v>82</v>
      </c>
      <c r="B89" s="38">
        <v>2801300001</v>
      </c>
      <c r="C89" s="32" t="s">
        <v>150</v>
      </c>
      <c r="D89" s="33" t="s">
        <v>30</v>
      </c>
      <c r="E89" s="39">
        <v>29412</v>
      </c>
      <c r="F89" s="33" t="s">
        <v>31</v>
      </c>
      <c r="G89" s="33" t="s">
        <v>254</v>
      </c>
      <c r="H89" s="33" t="s">
        <v>41</v>
      </c>
      <c r="I89" s="39">
        <v>36434</v>
      </c>
      <c r="J89" s="39">
        <v>36800</v>
      </c>
      <c r="K89" s="33" t="s">
        <v>146</v>
      </c>
      <c r="L89" s="33" t="s">
        <v>83</v>
      </c>
      <c r="M89" s="39" t="s">
        <v>71</v>
      </c>
      <c r="N89" s="40" t="s">
        <v>43</v>
      </c>
      <c r="O89" s="41">
        <v>2</v>
      </c>
      <c r="P89" s="42">
        <v>2</v>
      </c>
      <c r="Q89" s="43">
        <v>45395</v>
      </c>
      <c r="R89" s="55" t="s">
        <v>44</v>
      </c>
      <c r="S89" s="44">
        <v>12243</v>
      </c>
      <c r="T89" s="45">
        <v>93995927</v>
      </c>
    </row>
    <row r="90" spans="1:20" s="46" customFormat="1" ht="21" customHeight="1" x14ac:dyDescent="0.75">
      <c r="A90" s="33">
        <f t="shared" si="1"/>
        <v>83</v>
      </c>
      <c r="B90" s="38">
        <v>1800800342</v>
      </c>
      <c r="C90" s="32" t="s">
        <v>151</v>
      </c>
      <c r="D90" s="33" t="s">
        <v>22</v>
      </c>
      <c r="E90" s="39">
        <v>29505</v>
      </c>
      <c r="F90" s="33" t="s">
        <v>31</v>
      </c>
      <c r="G90" s="33" t="s">
        <v>255</v>
      </c>
      <c r="H90" s="33" t="s">
        <v>41</v>
      </c>
      <c r="I90" s="39">
        <v>38261</v>
      </c>
      <c r="J90" s="39">
        <v>38626.25</v>
      </c>
      <c r="K90" s="33" t="s">
        <v>67</v>
      </c>
      <c r="L90" s="33"/>
      <c r="M90" s="39" t="s">
        <v>59</v>
      </c>
      <c r="N90" s="40" t="s">
        <v>43</v>
      </c>
      <c r="O90" s="41">
        <v>2</v>
      </c>
      <c r="P90" s="42">
        <v>2</v>
      </c>
      <c r="Q90" s="43">
        <v>45395</v>
      </c>
      <c r="R90" s="55" t="s">
        <v>44</v>
      </c>
      <c r="S90" s="44">
        <v>12260</v>
      </c>
      <c r="T90" s="45">
        <v>12738783</v>
      </c>
    </row>
    <row r="91" spans="1:20" s="46" customFormat="1" ht="21" customHeight="1" x14ac:dyDescent="0.75">
      <c r="A91" s="33">
        <f t="shared" si="1"/>
        <v>84</v>
      </c>
      <c r="B91" s="38">
        <v>1810800223</v>
      </c>
      <c r="C91" s="32" t="s">
        <v>152</v>
      </c>
      <c r="D91" s="33" t="s">
        <v>22</v>
      </c>
      <c r="E91" s="39">
        <v>29736</v>
      </c>
      <c r="F91" s="33" t="s">
        <v>95</v>
      </c>
      <c r="G91" s="33"/>
      <c r="H91" s="33" t="s">
        <v>41</v>
      </c>
      <c r="I91" s="39">
        <v>37895</v>
      </c>
      <c r="J91" s="39">
        <v>38261</v>
      </c>
      <c r="K91" s="33" t="s">
        <v>140</v>
      </c>
      <c r="L91" s="33"/>
      <c r="M91" s="39" t="s">
        <v>59</v>
      </c>
      <c r="N91" s="40" t="s">
        <v>43</v>
      </c>
      <c r="O91" s="41">
        <v>2</v>
      </c>
      <c r="P91" s="42">
        <v>3</v>
      </c>
      <c r="Q91" s="43">
        <v>45395</v>
      </c>
      <c r="R91" s="55" t="s">
        <v>44</v>
      </c>
      <c r="S91" s="44">
        <v>12909</v>
      </c>
      <c r="T91" s="45">
        <v>12668305</v>
      </c>
    </row>
    <row r="92" spans="1:20" s="46" customFormat="1" ht="21" customHeight="1" x14ac:dyDescent="0.75">
      <c r="A92" s="33">
        <f t="shared" si="1"/>
        <v>85</v>
      </c>
      <c r="B92" s="38">
        <v>2810800209</v>
      </c>
      <c r="C92" s="32" t="s">
        <v>153</v>
      </c>
      <c r="D92" s="33" t="s">
        <v>30</v>
      </c>
      <c r="E92" s="39">
        <v>29742</v>
      </c>
      <c r="F92" s="33" t="s">
        <v>31</v>
      </c>
      <c r="G92" s="33" t="s">
        <v>256</v>
      </c>
      <c r="H92" s="33" t="s">
        <v>41</v>
      </c>
      <c r="I92" s="39">
        <v>37895</v>
      </c>
      <c r="J92" s="39">
        <v>38261</v>
      </c>
      <c r="K92" s="33" t="s">
        <v>25</v>
      </c>
      <c r="L92" s="33" t="s">
        <v>32</v>
      </c>
      <c r="M92" s="39" t="s">
        <v>59</v>
      </c>
      <c r="N92" s="40" t="s">
        <v>43</v>
      </c>
      <c r="O92" s="41">
        <v>2</v>
      </c>
      <c r="P92" s="42">
        <v>1</v>
      </c>
      <c r="Q92" s="43">
        <v>45395</v>
      </c>
      <c r="R92" s="55" t="s">
        <v>44</v>
      </c>
      <c r="S92" s="44">
        <v>12072</v>
      </c>
      <c r="T92" s="45">
        <v>89889504</v>
      </c>
    </row>
    <row r="93" spans="1:20" s="46" customFormat="1" ht="21" customHeight="1" x14ac:dyDescent="0.75">
      <c r="A93" s="33">
        <f t="shared" si="1"/>
        <v>86</v>
      </c>
      <c r="B93" s="38">
        <v>1810800078</v>
      </c>
      <c r="C93" s="32" t="s">
        <v>154</v>
      </c>
      <c r="D93" s="33" t="s">
        <v>22</v>
      </c>
      <c r="E93" s="39">
        <v>29822</v>
      </c>
      <c r="F93" s="33" t="s">
        <v>31</v>
      </c>
      <c r="G93" s="33" t="s">
        <v>67</v>
      </c>
      <c r="H93" s="33" t="s">
        <v>41</v>
      </c>
      <c r="I93" s="39">
        <v>37165</v>
      </c>
      <c r="J93" s="39">
        <v>37530.25</v>
      </c>
      <c r="K93" s="33" t="s">
        <v>61</v>
      </c>
      <c r="L93" s="33" t="s">
        <v>42</v>
      </c>
      <c r="M93" s="39" t="s">
        <v>59</v>
      </c>
      <c r="N93" s="40" t="s">
        <v>43</v>
      </c>
      <c r="O93" s="41">
        <v>2</v>
      </c>
      <c r="P93" s="42">
        <v>1</v>
      </c>
      <c r="Q93" s="43">
        <v>45395</v>
      </c>
      <c r="R93" s="55" t="s">
        <v>44</v>
      </c>
      <c r="S93" s="44">
        <v>12074</v>
      </c>
      <c r="T93" s="45">
        <v>963917168</v>
      </c>
    </row>
    <row r="94" spans="1:20" s="46" customFormat="1" ht="21" customHeight="1" x14ac:dyDescent="0.75">
      <c r="A94" s="33">
        <f t="shared" si="1"/>
        <v>87</v>
      </c>
      <c r="B94" s="38">
        <v>1820800392</v>
      </c>
      <c r="C94" s="32" t="s">
        <v>155</v>
      </c>
      <c r="D94" s="33" t="s">
        <v>22</v>
      </c>
      <c r="E94" s="39">
        <v>29971</v>
      </c>
      <c r="F94" s="33" t="s">
        <v>31</v>
      </c>
      <c r="G94" s="33" t="s">
        <v>257</v>
      </c>
      <c r="H94" s="33" t="s">
        <v>41</v>
      </c>
      <c r="I94" s="39">
        <v>39722</v>
      </c>
      <c r="J94" s="39">
        <v>40087.25</v>
      </c>
      <c r="K94" s="33" t="s">
        <v>140</v>
      </c>
      <c r="L94" s="33"/>
      <c r="M94" s="39" t="s">
        <v>59</v>
      </c>
      <c r="N94" s="40" t="s">
        <v>43</v>
      </c>
      <c r="O94" s="41">
        <v>2</v>
      </c>
      <c r="P94" s="42">
        <v>3</v>
      </c>
      <c r="Q94" s="43">
        <v>45395</v>
      </c>
      <c r="R94" s="55" t="s">
        <v>44</v>
      </c>
      <c r="S94" s="44">
        <v>12937</v>
      </c>
      <c r="T94" s="45">
        <v>10987967</v>
      </c>
    </row>
    <row r="95" spans="1:20" s="46" customFormat="1" ht="21" customHeight="1" x14ac:dyDescent="0.75">
      <c r="A95" s="33">
        <f t="shared" si="1"/>
        <v>88</v>
      </c>
      <c r="B95" s="38">
        <v>2820800178</v>
      </c>
      <c r="C95" s="32" t="s">
        <v>156</v>
      </c>
      <c r="D95" s="33" t="s">
        <v>30</v>
      </c>
      <c r="E95" s="39">
        <v>30244</v>
      </c>
      <c r="F95" s="33" t="s">
        <v>95</v>
      </c>
      <c r="G95" s="33" t="s">
        <v>202</v>
      </c>
      <c r="H95" s="33" t="s">
        <v>41</v>
      </c>
      <c r="I95" s="39">
        <v>37895</v>
      </c>
      <c r="J95" s="39">
        <v>38261</v>
      </c>
      <c r="K95" s="33" t="s">
        <v>142</v>
      </c>
      <c r="L95" s="33" t="s">
        <v>83</v>
      </c>
      <c r="M95" s="39" t="s">
        <v>71</v>
      </c>
      <c r="N95" s="40" t="s">
        <v>43</v>
      </c>
      <c r="O95" s="41">
        <v>2</v>
      </c>
      <c r="P95" s="42">
        <v>3</v>
      </c>
      <c r="Q95" s="43">
        <v>45395</v>
      </c>
      <c r="R95" s="55" t="s">
        <v>44</v>
      </c>
      <c r="S95" s="44">
        <v>12971</v>
      </c>
      <c r="T95" s="45">
        <v>70956988</v>
      </c>
    </row>
    <row r="96" spans="1:20" s="46" customFormat="1" ht="21" customHeight="1" x14ac:dyDescent="0.75">
      <c r="A96" s="33">
        <f t="shared" si="1"/>
        <v>89</v>
      </c>
      <c r="B96" s="38">
        <v>2820800146</v>
      </c>
      <c r="C96" s="32" t="s">
        <v>157</v>
      </c>
      <c r="D96" s="33" t="s">
        <v>30</v>
      </c>
      <c r="E96" s="39">
        <v>30315</v>
      </c>
      <c r="F96" s="33" t="s">
        <v>31</v>
      </c>
      <c r="G96" s="33" t="s">
        <v>241</v>
      </c>
      <c r="H96" s="33" t="s">
        <v>41</v>
      </c>
      <c r="I96" s="39">
        <v>38261</v>
      </c>
      <c r="J96" s="39">
        <v>38626.25</v>
      </c>
      <c r="K96" s="33" t="s">
        <v>142</v>
      </c>
      <c r="L96" s="33" t="s">
        <v>83</v>
      </c>
      <c r="M96" s="39" t="s">
        <v>59</v>
      </c>
      <c r="N96" s="40" t="s">
        <v>43</v>
      </c>
      <c r="O96" s="41">
        <v>2</v>
      </c>
      <c r="P96" s="42">
        <v>2</v>
      </c>
      <c r="Q96" s="43">
        <v>45395</v>
      </c>
      <c r="R96" s="55" t="s">
        <v>44</v>
      </c>
      <c r="S96" s="44">
        <v>12361</v>
      </c>
      <c r="T96" s="45">
        <v>12255139</v>
      </c>
    </row>
    <row r="97" spans="1:20" s="46" customFormat="1" ht="21" customHeight="1" x14ac:dyDescent="0.75">
      <c r="A97" s="33">
        <f t="shared" si="1"/>
        <v>90</v>
      </c>
      <c r="B97" s="38">
        <v>1830200022</v>
      </c>
      <c r="C97" s="32" t="s">
        <v>158</v>
      </c>
      <c r="D97" s="33" t="s">
        <v>22</v>
      </c>
      <c r="E97" s="39">
        <v>30321</v>
      </c>
      <c r="F97" s="33" t="s">
        <v>95</v>
      </c>
      <c r="G97" s="33"/>
      <c r="H97" s="33" t="s">
        <v>41</v>
      </c>
      <c r="I97" s="39">
        <v>37530</v>
      </c>
      <c r="J97" s="39">
        <v>37895.25</v>
      </c>
      <c r="K97" s="33" t="s">
        <v>35</v>
      </c>
      <c r="L97" s="33" t="s">
        <v>54</v>
      </c>
      <c r="M97" s="39" t="s">
        <v>59</v>
      </c>
      <c r="N97" s="40" t="s">
        <v>43</v>
      </c>
      <c r="O97" s="41">
        <v>2</v>
      </c>
      <c r="P97" s="42">
        <v>4</v>
      </c>
      <c r="Q97" s="43">
        <v>45395</v>
      </c>
      <c r="R97" s="55" t="s">
        <v>44</v>
      </c>
      <c r="S97" s="44">
        <v>14410</v>
      </c>
      <c r="T97" s="45">
        <v>12917590</v>
      </c>
    </row>
    <row r="98" spans="1:20" s="46" customFormat="1" ht="21" customHeight="1" x14ac:dyDescent="0.75">
      <c r="A98" s="33">
        <f t="shared" si="1"/>
        <v>91</v>
      </c>
      <c r="B98" s="38">
        <v>2830800141</v>
      </c>
      <c r="C98" s="32" t="s">
        <v>159</v>
      </c>
      <c r="D98" s="33" t="s">
        <v>30</v>
      </c>
      <c r="E98" s="39">
        <v>30359</v>
      </c>
      <c r="F98" s="33" t="s">
        <v>95</v>
      </c>
      <c r="G98" s="33" t="s">
        <v>254</v>
      </c>
      <c r="H98" s="33" t="s">
        <v>41</v>
      </c>
      <c r="I98" s="39">
        <v>38991</v>
      </c>
      <c r="J98" s="39">
        <v>39356.25</v>
      </c>
      <c r="K98" s="33" t="s">
        <v>132</v>
      </c>
      <c r="L98" s="33" t="s">
        <v>87</v>
      </c>
      <c r="M98" s="39" t="s">
        <v>59</v>
      </c>
      <c r="N98" s="40" t="s">
        <v>43</v>
      </c>
      <c r="O98" s="41">
        <v>2</v>
      </c>
      <c r="P98" s="42">
        <v>3</v>
      </c>
      <c r="Q98" s="43">
        <v>45395</v>
      </c>
      <c r="R98" s="55" t="s">
        <v>44</v>
      </c>
      <c r="S98" s="44">
        <v>12984</v>
      </c>
      <c r="T98" s="45">
        <v>16830040</v>
      </c>
    </row>
    <row r="99" spans="1:20" s="46" customFormat="1" ht="21" customHeight="1" x14ac:dyDescent="0.75">
      <c r="A99" s="33">
        <f t="shared" si="1"/>
        <v>92</v>
      </c>
      <c r="B99" s="38">
        <v>1830800191</v>
      </c>
      <c r="C99" s="32" t="s">
        <v>160</v>
      </c>
      <c r="D99" s="33" t="s">
        <v>22</v>
      </c>
      <c r="E99" s="39">
        <v>30483</v>
      </c>
      <c r="F99" s="33" t="s">
        <v>95</v>
      </c>
      <c r="G99" s="33"/>
      <c r="H99" s="33" t="s">
        <v>41</v>
      </c>
      <c r="I99" s="39">
        <v>38991</v>
      </c>
      <c r="J99" s="39">
        <v>39356.25</v>
      </c>
      <c r="K99" s="33" t="s">
        <v>146</v>
      </c>
      <c r="L99" s="33" t="s">
        <v>83</v>
      </c>
      <c r="M99" s="39" t="s">
        <v>59</v>
      </c>
      <c r="N99" s="40" t="s">
        <v>43</v>
      </c>
      <c r="O99" s="41">
        <v>2</v>
      </c>
      <c r="P99" s="42">
        <v>3</v>
      </c>
      <c r="Q99" s="43">
        <v>45395</v>
      </c>
      <c r="R99" s="55" t="s">
        <v>44</v>
      </c>
      <c r="S99" s="44">
        <v>13002</v>
      </c>
      <c r="T99" s="45">
        <v>16546345</v>
      </c>
    </row>
    <row r="100" spans="1:20" s="46" customFormat="1" ht="21" customHeight="1" x14ac:dyDescent="0.75">
      <c r="A100" s="33">
        <f t="shared" si="1"/>
        <v>93</v>
      </c>
      <c r="B100" s="38">
        <v>2830800143</v>
      </c>
      <c r="C100" s="32" t="s">
        <v>161</v>
      </c>
      <c r="D100" s="33" t="s">
        <v>30</v>
      </c>
      <c r="E100" s="39">
        <v>30522</v>
      </c>
      <c r="F100" s="33" t="s">
        <v>95</v>
      </c>
      <c r="G100" s="33"/>
      <c r="H100" s="33" t="s">
        <v>41</v>
      </c>
      <c r="I100" s="39">
        <v>37895</v>
      </c>
      <c r="J100" s="39">
        <v>38261</v>
      </c>
      <c r="K100" s="33" t="s">
        <v>142</v>
      </c>
      <c r="L100" s="33" t="s">
        <v>83</v>
      </c>
      <c r="M100" s="39" t="s">
        <v>71</v>
      </c>
      <c r="N100" s="40" t="s">
        <v>43</v>
      </c>
      <c r="O100" s="41">
        <v>2</v>
      </c>
      <c r="P100" s="42">
        <v>3</v>
      </c>
      <c r="Q100" s="43">
        <v>45395</v>
      </c>
      <c r="R100" s="55" t="s">
        <v>44</v>
      </c>
      <c r="S100" s="44">
        <v>13010</v>
      </c>
      <c r="T100" s="45">
        <v>69450025</v>
      </c>
    </row>
    <row r="101" spans="1:20" s="46" customFormat="1" ht="21" customHeight="1" x14ac:dyDescent="0.75">
      <c r="A101" s="33">
        <f t="shared" si="1"/>
        <v>94</v>
      </c>
      <c r="B101" s="38">
        <v>2840800204</v>
      </c>
      <c r="C101" s="32" t="s">
        <v>162</v>
      </c>
      <c r="D101" s="33" t="s">
        <v>30</v>
      </c>
      <c r="E101" s="39">
        <v>30932</v>
      </c>
      <c r="F101" s="33" t="s">
        <v>31</v>
      </c>
      <c r="G101" s="33" t="s">
        <v>236</v>
      </c>
      <c r="H101" s="33" t="s">
        <v>41</v>
      </c>
      <c r="I101" s="39">
        <v>39356</v>
      </c>
      <c r="J101" s="39">
        <v>39721.25</v>
      </c>
      <c r="K101" s="33" t="s">
        <v>142</v>
      </c>
      <c r="L101" s="33" t="s">
        <v>83</v>
      </c>
      <c r="M101" s="39" t="s">
        <v>59</v>
      </c>
      <c r="N101" s="40" t="s">
        <v>43</v>
      </c>
      <c r="O101" s="41">
        <v>2</v>
      </c>
      <c r="P101" s="42">
        <v>2</v>
      </c>
      <c r="Q101" s="43">
        <v>45395</v>
      </c>
      <c r="R101" s="55" t="s">
        <v>44</v>
      </c>
      <c r="S101" s="44">
        <v>12447</v>
      </c>
      <c r="T101" s="45">
        <v>92660024</v>
      </c>
    </row>
    <row r="102" spans="1:20" s="46" customFormat="1" ht="21" customHeight="1" x14ac:dyDescent="0.75">
      <c r="A102" s="33">
        <f t="shared" si="1"/>
        <v>95</v>
      </c>
      <c r="B102" s="38">
        <v>2840800128</v>
      </c>
      <c r="C102" s="32" t="s">
        <v>163</v>
      </c>
      <c r="D102" s="33" t="s">
        <v>30</v>
      </c>
      <c r="E102" s="39">
        <v>31006</v>
      </c>
      <c r="F102" s="33" t="s">
        <v>31</v>
      </c>
      <c r="G102" s="33" t="s">
        <v>66</v>
      </c>
      <c r="H102" s="33" t="s">
        <v>41</v>
      </c>
      <c r="I102" s="39">
        <v>38991</v>
      </c>
      <c r="J102" s="39">
        <v>39356.25</v>
      </c>
      <c r="K102" s="33" t="s">
        <v>142</v>
      </c>
      <c r="L102" s="33" t="s">
        <v>83</v>
      </c>
      <c r="M102" s="39" t="s">
        <v>59</v>
      </c>
      <c r="N102" s="40" t="s">
        <v>43</v>
      </c>
      <c r="O102" s="41">
        <v>2</v>
      </c>
      <c r="P102" s="42">
        <v>2</v>
      </c>
      <c r="Q102" s="43">
        <v>45395</v>
      </c>
      <c r="R102" s="55" t="s">
        <v>44</v>
      </c>
      <c r="S102" s="44">
        <v>12461</v>
      </c>
      <c r="T102" s="45">
        <v>93752518</v>
      </c>
    </row>
    <row r="103" spans="1:20" s="46" customFormat="1" ht="21" customHeight="1" x14ac:dyDescent="0.75">
      <c r="A103" s="33">
        <f t="shared" si="1"/>
        <v>96</v>
      </c>
      <c r="B103" s="38">
        <v>2850800149</v>
      </c>
      <c r="C103" s="32" t="s">
        <v>164</v>
      </c>
      <c r="D103" s="33" t="s">
        <v>30</v>
      </c>
      <c r="E103" s="39">
        <v>31241</v>
      </c>
      <c r="F103" s="33" t="s">
        <v>31</v>
      </c>
      <c r="G103" s="33" t="s">
        <v>61</v>
      </c>
      <c r="H103" s="33" t="s">
        <v>41</v>
      </c>
      <c r="I103" s="39">
        <v>39356</v>
      </c>
      <c r="J103" s="39">
        <v>39721.25</v>
      </c>
      <c r="K103" s="33" t="s">
        <v>61</v>
      </c>
      <c r="L103" s="33" t="s">
        <v>42</v>
      </c>
      <c r="M103" s="39" t="s">
        <v>59</v>
      </c>
      <c r="N103" s="40" t="s">
        <v>43</v>
      </c>
      <c r="O103" s="41">
        <v>2</v>
      </c>
      <c r="P103" s="42">
        <v>3</v>
      </c>
      <c r="Q103" s="43">
        <v>45395</v>
      </c>
      <c r="R103" s="55" t="s">
        <v>44</v>
      </c>
      <c r="S103" s="44">
        <v>13099</v>
      </c>
      <c r="T103" s="45">
        <v>86204001</v>
      </c>
    </row>
    <row r="104" spans="1:20" s="46" customFormat="1" ht="21" customHeight="1" x14ac:dyDescent="0.75">
      <c r="A104" s="33">
        <f t="shared" si="1"/>
        <v>97</v>
      </c>
      <c r="B104" s="38">
        <v>1851200021</v>
      </c>
      <c r="C104" s="32" t="s">
        <v>165</v>
      </c>
      <c r="D104" s="33" t="s">
        <v>22</v>
      </c>
      <c r="E104" s="39">
        <v>31264</v>
      </c>
      <c r="F104" s="33" t="s">
        <v>31</v>
      </c>
      <c r="G104" s="33" t="s">
        <v>42</v>
      </c>
      <c r="H104" s="33" t="s">
        <v>41</v>
      </c>
      <c r="I104" s="39">
        <v>38991</v>
      </c>
      <c r="J104" s="39">
        <v>39356.25</v>
      </c>
      <c r="K104" s="33" t="s">
        <v>42</v>
      </c>
      <c r="L104" s="33" t="s">
        <v>38</v>
      </c>
      <c r="M104" s="39" t="s">
        <v>71</v>
      </c>
      <c r="N104" s="40" t="s">
        <v>43</v>
      </c>
      <c r="O104" s="41">
        <v>2</v>
      </c>
      <c r="P104" s="42">
        <v>2</v>
      </c>
      <c r="Q104" s="43">
        <v>45395</v>
      </c>
      <c r="R104" s="55" t="s">
        <v>44</v>
      </c>
      <c r="S104" s="44">
        <v>12498</v>
      </c>
      <c r="T104" s="45">
        <v>12540057</v>
      </c>
    </row>
    <row r="105" spans="1:20" s="46" customFormat="1" ht="21" customHeight="1" x14ac:dyDescent="0.75">
      <c r="A105" s="33">
        <f t="shared" si="1"/>
        <v>98</v>
      </c>
      <c r="B105" s="38">
        <v>2851200159</v>
      </c>
      <c r="C105" s="32" t="s">
        <v>166</v>
      </c>
      <c r="D105" s="33" t="s">
        <v>30</v>
      </c>
      <c r="E105" s="39">
        <v>31406</v>
      </c>
      <c r="F105" s="33" t="s">
        <v>95</v>
      </c>
      <c r="G105" s="33" t="s">
        <v>258</v>
      </c>
      <c r="H105" s="33" t="s">
        <v>41</v>
      </c>
      <c r="I105" s="39">
        <v>39722</v>
      </c>
      <c r="J105" s="39">
        <v>40087.25</v>
      </c>
      <c r="K105" s="33" t="s">
        <v>42</v>
      </c>
      <c r="L105" s="33" t="s">
        <v>38</v>
      </c>
      <c r="M105" s="39" t="s">
        <v>71</v>
      </c>
      <c r="N105" s="40" t="s">
        <v>43</v>
      </c>
      <c r="O105" s="41">
        <v>2</v>
      </c>
      <c r="P105" s="42">
        <v>3</v>
      </c>
      <c r="Q105" s="43">
        <v>45395</v>
      </c>
      <c r="R105" s="55" t="s">
        <v>44</v>
      </c>
      <c r="S105" s="44">
        <v>13121</v>
      </c>
      <c r="T105" s="45">
        <v>16709179</v>
      </c>
    </row>
    <row r="106" spans="1:20" s="46" customFormat="1" ht="21" customHeight="1" x14ac:dyDescent="0.75">
      <c r="A106" s="33">
        <f t="shared" si="1"/>
        <v>99</v>
      </c>
      <c r="B106" s="38">
        <v>2860800074</v>
      </c>
      <c r="C106" s="32" t="s">
        <v>167</v>
      </c>
      <c r="D106" s="33" t="s">
        <v>30</v>
      </c>
      <c r="E106" s="39">
        <v>31493</v>
      </c>
      <c r="F106" s="33" t="s">
        <v>95</v>
      </c>
      <c r="G106" s="33" t="s">
        <v>61</v>
      </c>
      <c r="H106" s="33" t="s">
        <v>41</v>
      </c>
      <c r="I106" s="39">
        <v>39356</v>
      </c>
      <c r="J106" s="39">
        <v>39722</v>
      </c>
      <c r="K106" s="33" t="s">
        <v>61</v>
      </c>
      <c r="L106" s="33" t="s">
        <v>42</v>
      </c>
      <c r="M106" s="39" t="s">
        <v>59</v>
      </c>
      <c r="N106" s="40" t="s">
        <v>43</v>
      </c>
      <c r="O106" s="41">
        <v>2</v>
      </c>
      <c r="P106" s="42">
        <v>3</v>
      </c>
      <c r="Q106" s="43">
        <v>45395</v>
      </c>
      <c r="R106" s="55" t="s">
        <v>44</v>
      </c>
      <c r="S106" s="44">
        <v>13134</v>
      </c>
      <c r="T106" s="45">
        <v>968555072</v>
      </c>
    </row>
    <row r="107" spans="1:20" s="46" customFormat="1" ht="21" customHeight="1" x14ac:dyDescent="0.75">
      <c r="A107" s="33">
        <f t="shared" si="1"/>
        <v>100</v>
      </c>
      <c r="B107" s="38">
        <v>2861200081</v>
      </c>
      <c r="C107" s="32" t="s">
        <v>168</v>
      </c>
      <c r="D107" s="33" t="s">
        <v>30</v>
      </c>
      <c r="E107" s="39">
        <v>31737</v>
      </c>
      <c r="F107" s="33" t="s">
        <v>31</v>
      </c>
      <c r="G107" s="33" t="s">
        <v>259</v>
      </c>
      <c r="H107" s="33" t="s">
        <v>41</v>
      </c>
      <c r="I107" s="39">
        <v>39356</v>
      </c>
      <c r="J107" s="39">
        <v>39722</v>
      </c>
      <c r="K107" s="33" t="s">
        <v>25</v>
      </c>
      <c r="L107" s="33" t="s">
        <v>32</v>
      </c>
      <c r="M107" s="39" t="s">
        <v>59</v>
      </c>
      <c r="N107" s="40" t="s">
        <v>43</v>
      </c>
      <c r="O107" s="41">
        <v>2</v>
      </c>
      <c r="P107" s="42">
        <v>1</v>
      </c>
      <c r="Q107" s="43">
        <v>45395</v>
      </c>
      <c r="R107" s="55" t="s">
        <v>44</v>
      </c>
      <c r="S107" s="44">
        <v>12099</v>
      </c>
      <c r="T107" s="45">
        <v>92944680</v>
      </c>
    </row>
    <row r="108" spans="1:20" s="46" customFormat="1" ht="21" customHeight="1" x14ac:dyDescent="0.75">
      <c r="A108" s="33">
        <f t="shared" si="1"/>
        <v>101</v>
      </c>
      <c r="B108" s="38">
        <v>1870800034</v>
      </c>
      <c r="C108" s="32" t="s">
        <v>169</v>
      </c>
      <c r="D108" s="33" t="s">
        <v>22</v>
      </c>
      <c r="E108" s="39">
        <v>31794</v>
      </c>
      <c r="F108" s="33" t="s">
        <v>31</v>
      </c>
      <c r="G108" s="33" t="s">
        <v>38</v>
      </c>
      <c r="H108" s="33" t="s">
        <v>41</v>
      </c>
      <c r="I108" s="39">
        <v>39722</v>
      </c>
      <c r="J108" s="39">
        <v>40087.25</v>
      </c>
      <c r="K108" s="33" t="s">
        <v>35</v>
      </c>
      <c r="L108" s="33" t="s">
        <v>54</v>
      </c>
      <c r="M108" s="39" t="s">
        <v>71</v>
      </c>
      <c r="N108" s="40" t="s">
        <v>43</v>
      </c>
      <c r="O108" s="41">
        <v>2</v>
      </c>
      <c r="P108" s="42">
        <v>2</v>
      </c>
      <c r="Q108" s="43">
        <v>45395</v>
      </c>
      <c r="R108" s="55" t="s">
        <v>44</v>
      </c>
      <c r="S108" s="44">
        <v>12545</v>
      </c>
      <c r="T108" s="45">
        <v>16935463</v>
      </c>
    </row>
    <row r="109" spans="1:20" s="46" customFormat="1" ht="21" customHeight="1" x14ac:dyDescent="0.75">
      <c r="A109" s="33">
        <f t="shared" si="1"/>
        <v>102</v>
      </c>
      <c r="B109" s="38">
        <v>1871400081</v>
      </c>
      <c r="C109" s="32" t="s">
        <v>170</v>
      </c>
      <c r="D109" s="33" t="s">
        <v>22</v>
      </c>
      <c r="E109" s="39">
        <v>31929</v>
      </c>
      <c r="F109" s="33" t="s">
        <v>31</v>
      </c>
      <c r="G109" s="33" t="s">
        <v>67</v>
      </c>
      <c r="H109" s="33" t="s">
        <v>41</v>
      </c>
      <c r="I109" s="39">
        <v>40087</v>
      </c>
      <c r="J109" s="39">
        <v>40452.25</v>
      </c>
      <c r="K109" s="33" t="s">
        <v>67</v>
      </c>
      <c r="L109" s="33" t="s">
        <v>83</v>
      </c>
      <c r="M109" s="39" t="s">
        <v>59</v>
      </c>
      <c r="N109" s="40" t="s">
        <v>43</v>
      </c>
      <c r="O109" s="41">
        <v>2</v>
      </c>
      <c r="P109" s="42">
        <v>2</v>
      </c>
      <c r="Q109" s="43">
        <v>45395</v>
      </c>
      <c r="R109" s="55" t="s">
        <v>44</v>
      </c>
      <c r="S109" s="44">
        <v>12560</v>
      </c>
      <c r="T109" s="45">
        <v>962233517</v>
      </c>
    </row>
    <row r="110" spans="1:20" s="46" customFormat="1" ht="21" customHeight="1" x14ac:dyDescent="0.75">
      <c r="A110" s="33">
        <f t="shared" si="1"/>
        <v>103</v>
      </c>
      <c r="B110" s="38">
        <v>1870800141</v>
      </c>
      <c r="C110" s="32" t="s">
        <v>171</v>
      </c>
      <c r="D110" s="33" t="s">
        <v>22</v>
      </c>
      <c r="E110" s="39">
        <v>32027</v>
      </c>
      <c r="F110" s="33" t="s">
        <v>95</v>
      </c>
      <c r="G110" s="33"/>
      <c r="H110" s="33" t="s">
        <v>41</v>
      </c>
      <c r="I110" s="39">
        <v>40817</v>
      </c>
      <c r="J110" s="39">
        <v>41182.25</v>
      </c>
      <c r="K110" s="33" t="s">
        <v>140</v>
      </c>
      <c r="L110" s="33"/>
      <c r="M110" s="39" t="s">
        <v>71</v>
      </c>
      <c r="N110" s="40" t="s">
        <v>43</v>
      </c>
      <c r="O110" s="41">
        <v>2</v>
      </c>
      <c r="P110" s="42">
        <v>3</v>
      </c>
      <c r="Q110" s="43">
        <v>45395</v>
      </c>
      <c r="R110" s="55" t="s">
        <v>44</v>
      </c>
      <c r="S110" s="44">
        <v>13192</v>
      </c>
      <c r="T110" s="45">
        <v>965000480</v>
      </c>
    </row>
    <row r="111" spans="1:20" s="46" customFormat="1" ht="21" customHeight="1" x14ac:dyDescent="0.75">
      <c r="A111" s="33">
        <f t="shared" si="1"/>
        <v>104</v>
      </c>
      <c r="B111" s="38">
        <v>2871200090</v>
      </c>
      <c r="C111" s="32" t="s">
        <v>172</v>
      </c>
      <c r="D111" s="33" t="s">
        <v>30</v>
      </c>
      <c r="E111" s="39">
        <v>32098</v>
      </c>
      <c r="F111" s="33" t="s">
        <v>95</v>
      </c>
      <c r="G111" s="33" t="s">
        <v>260</v>
      </c>
      <c r="H111" s="33" t="s">
        <v>41</v>
      </c>
      <c r="I111" s="39">
        <v>40452</v>
      </c>
      <c r="J111" s="39">
        <v>40817.25</v>
      </c>
      <c r="K111" s="33" t="s">
        <v>140</v>
      </c>
      <c r="L111" s="33"/>
      <c r="M111" s="39" t="s">
        <v>71</v>
      </c>
      <c r="N111" s="40" t="s">
        <v>43</v>
      </c>
      <c r="O111" s="41">
        <v>2</v>
      </c>
      <c r="P111" s="42">
        <v>3</v>
      </c>
      <c r="Q111" s="43">
        <v>45395</v>
      </c>
      <c r="R111" s="55" t="s">
        <v>44</v>
      </c>
      <c r="S111" s="44">
        <v>13198</v>
      </c>
      <c r="T111" s="45">
        <v>11773040</v>
      </c>
    </row>
    <row r="112" spans="1:20" s="46" customFormat="1" ht="21" customHeight="1" x14ac:dyDescent="0.75">
      <c r="A112" s="33">
        <f t="shared" si="1"/>
        <v>105</v>
      </c>
      <c r="B112" s="38">
        <v>2880800154</v>
      </c>
      <c r="C112" s="32" t="s">
        <v>173</v>
      </c>
      <c r="D112" s="33" t="s">
        <v>30</v>
      </c>
      <c r="E112" s="39">
        <v>32234</v>
      </c>
      <c r="F112" s="33" t="s">
        <v>95</v>
      </c>
      <c r="G112" s="33"/>
      <c r="H112" s="33" t="s">
        <v>41</v>
      </c>
      <c r="I112" s="39">
        <v>40817</v>
      </c>
      <c r="J112" s="39">
        <v>41183</v>
      </c>
      <c r="K112" s="33" t="s">
        <v>140</v>
      </c>
      <c r="L112" s="33"/>
      <c r="M112" s="39" t="s">
        <v>71</v>
      </c>
      <c r="N112" s="40" t="s">
        <v>43</v>
      </c>
      <c r="O112" s="41">
        <v>2</v>
      </c>
      <c r="P112" s="42">
        <v>3</v>
      </c>
      <c r="Q112" s="43">
        <v>45395</v>
      </c>
      <c r="R112" s="55" t="s">
        <v>44</v>
      </c>
      <c r="S112" s="44">
        <v>35290</v>
      </c>
      <c r="T112" s="45">
        <v>93545401</v>
      </c>
    </row>
    <row r="113" spans="1:20" s="46" customFormat="1" ht="21" customHeight="1" x14ac:dyDescent="0.75">
      <c r="A113" s="33">
        <f t="shared" si="1"/>
        <v>106</v>
      </c>
      <c r="B113" s="38">
        <v>2890800096</v>
      </c>
      <c r="C113" s="32" t="s">
        <v>174</v>
      </c>
      <c r="D113" s="33" t="s">
        <v>30</v>
      </c>
      <c r="E113" s="39">
        <v>32703</v>
      </c>
      <c r="F113" s="33" t="s">
        <v>95</v>
      </c>
      <c r="G113" s="33" t="s">
        <v>61</v>
      </c>
      <c r="H113" s="33" t="s">
        <v>41</v>
      </c>
      <c r="I113" s="39">
        <v>40817</v>
      </c>
      <c r="J113" s="39">
        <v>41183</v>
      </c>
      <c r="K113" s="33" t="s">
        <v>61</v>
      </c>
      <c r="L113" s="33" t="s">
        <v>42</v>
      </c>
      <c r="M113" s="39" t="s">
        <v>59</v>
      </c>
      <c r="N113" s="40" t="s">
        <v>43</v>
      </c>
      <c r="O113" s="41">
        <v>2</v>
      </c>
      <c r="P113" s="42">
        <v>3</v>
      </c>
      <c r="Q113" s="43">
        <v>45395</v>
      </c>
      <c r="R113" s="55" t="s">
        <v>44</v>
      </c>
      <c r="S113" s="44">
        <v>13269</v>
      </c>
      <c r="T113" s="45">
        <v>77416182</v>
      </c>
    </row>
    <row r="114" spans="1:20" s="46" customFormat="1" ht="21" customHeight="1" x14ac:dyDescent="0.75">
      <c r="A114" s="33">
        <f t="shared" si="1"/>
        <v>107</v>
      </c>
      <c r="B114" s="38">
        <v>1901200023</v>
      </c>
      <c r="C114" s="32" t="s">
        <v>175</v>
      </c>
      <c r="D114" s="33" t="s">
        <v>22</v>
      </c>
      <c r="E114" s="39">
        <v>32966</v>
      </c>
      <c r="F114" s="33" t="s">
        <v>95</v>
      </c>
      <c r="G114" s="33" t="s">
        <v>261</v>
      </c>
      <c r="H114" s="33" t="s">
        <v>41</v>
      </c>
      <c r="I114" s="39">
        <v>41183</v>
      </c>
      <c r="J114" s="39">
        <v>41548.25</v>
      </c>
      <c r="K114" s="33" t="s">
        <v>140</v>
      </c>
      <c r="L114" s="33"/>
      <c r="M114" s="39" t="s">
        <v>71</v>
      </c>
      <c r="N114" s="40" t="s">
        <v>43</v>
      </c>
      <c r="O114" s="41">
        <v>2</v>
      </c>
      <c r="P114" s="42">
        <v>3</v>
      </c>
      <c r="Q114" s="43">
        <v>45395</v>
      </c>
      <c r="R114" s="55" t="s">
        <v>44</v>
      </c>
      <c r="S114" s="44">
        <v>13293</v>
      </c>
      <c r="T114" s="45">
        <v>98484204</v>
      </c>
    </row>
    <row r="115" spans="1:20" s="46" customFormat="1" ht="21" customHeight="1" x14ac:dyDescent="0.75">
      <c r="A115" s="33">
        <f t="shared" si="1"/>
        <v>108</v>
      </c>
      <c r="B115" s="38">
        <v>1901200128</v>
      </c>
      <c r="C115" s="32" t="s">
        <v>176</v>
      </c>
      <c r="D115" s="33" t="s">
        <v>22</v>
      </c>
      <c r="E115" s="39">
        <v>33056</v>
      </c>
      <c r="F115" s="33" t="s">
        <v>95</v>
      </c>
      <c r="G115" s="33" t="s">
        <v>262</v>
      </c>
      <c r="H115" s="33" t="s">
        <v>41</v>
      </c>
      <c r="I115" s="39">
        <v>41913</v>
      </c>
      <c r="J115" s="39">
        <v>42278.25</v>
      </c>
      <c r="K115" s="33" t="s">
        <v>140</v>
      </c>
      <c r="L115" s="33"/>
      <c r="M115" s="39" t="s">
        <v>71</v>
      </c>
      <c r="N115" s="40" t="s">
        <v>43</v>
      </c>
      <c r="O115" s="41">
        <v>2</v>
      </c>
      <c r="P115" s="42">
        <v>4</v>
      </c>
      <c r="Q115" s="43">
        <v>45395</v>
      </c>
      <c r="R115" s="55" t="s">
        <v>44</v>
      </c>
      <c r="S115" s="44">
        <v>14429</v>
      </c>
      <c r="T115" s="45">
        <v>87288856</v>
      </c>
    </row>
    <row r="116" spans="1:20" s="46" customFormat="1" ht="21" customHeight="1" x14ac:dyDescent="0.75">
      <c r="A116" s="33">
        <f t="shared" si="1"/>
        <v>109</v>
      </c>
      <c r="B116" s="38">
        <v>2900800066</v>
      </c>
      <c r="C116" s="32" t="s">
        <v>177</v>
      </c>
      <c r="D116" s="33" t="s">
        <v>30</v>
      </c>
      <c r="E116" s="39">
        <v>33120</v>
      </c>
      <c r="F116" s="33" t="s">
        <v>95</v>
      </c>
      <c r="G116" s="33" t="s">
        <v>42</v>
      </c>
      <c r="H116" s="33" t="s">
        <v>41</v>
      </c>
      <c r="I116" s="39">
        <v>40817</v>
      </c>
      <c r="J116" s="39">
        <v>41183</v>
      </c>
      <c r="K116" s="33" t="s">
        <v>42</v>
      </c>
      <c r="L116" s="33" t="s">
        <v>38</v>
      </c>
      <c r="M116" s="39" t="s">
        <v>71</v>
      </c>
      <c r="N116" s="40" t="s">
        <v>43</v>
      </c>
      <c r="O116" s="41">
        <v>2</v>
      </c>
      <c r="P116" s="42">
        <v>3</v>
      </c>
      <c r="Q116" s="43">
        <v>45395</v>
      </c>
      <c r="R116" s="55" t="s">
        <v>44</v>
      </c>
      <c r="S116" s="44">
        <v>13307</v>
      </c>
      <c r="T116" s="45">
        <v>16533667</v>
      </c>
    </row>
    <row r="117" spans="1:20" s="46" customFormat="1" ht="21" customHeight="1" x14ac:dyDescent="0.75">
      <c r="A117" s="33">
        <f t="shared" si="1"/>
        <v>110</v>
      </c>
      <c r="B117" s="33">
        <v>1920800126</v>
      </c>
      <c r="C117" s="32" t="s">
        <v>178</v>
      </c>
      <c r="D117" s="33" t="s">
        <v>30</v>
      </c>
      <c r="E117" s="39">
        <v>33965</v>
      </c>
      <c r="F117" s="33" t="s">
        <v>95</v>
      </c>
      <c r="G117" s="33" t="s">
        <v>203</v>
      </c>
      <c r="H117" s="33" t="s">
        <v>41</v>
      </c>
      <c r="I117" s="39">
        <v>42644</v>
      </c>
      <c r="J117" s="39">
        <v>43009.25</v>
      </c>
      <c r="K117" s="33" t="s">
        <v>146</v>
      </c>
      <c r="L117" s="33" t="s">
        <v>83</v>
      </c>
      <c r="M117" s="39" t="s">
        <v>59</v>
      </c>
      <c r="N117" s="40" t="s">
        <v>43</v>
      </c>
      <c r="O117" s="41">
        <v>3</v>
      </c>
      <c r="P117" s="42">
        <v>1</v>
      </c>
      <c r="Q117" s="43">
        <v>45395</v>
      </c>
      <c r="R117" s="55" t="s">
        <v>44</v>
      </c>
      <c r="S117" s="44">
        <v>13419</v>
      </c>
      <c r="T117" s="45">
        <v>89216289</v>
      </c>
    </row>
    <row r="118" spans="1:20" s="46" customFormat="1" ht="21" customHeight="1" x14ac:dyDescent="0.75">
      <c r="A118" s="33">
        <f t="shared" si="1"/>
        <v>111</v>
      </c>
      <c r="B118" s="38">
        <v>2931200001</v>
      </c>
      <c r="C118" s="32" t="s">
        <v>179</v>
      </c>
      <c r="D118" s="33" t="s">
        <v>30</v>
      </c>
      <c r="E118" s="39">
        <v>34094</v>
      </c>
      <c r="F118" s="33" t="s">
        <v>95</v>
      </c>
      <c r="G118" s="33" t="s">
        <v>263</v>
      </c>
      <c r="H118" s="33" t="s">
        <v>41</v>
      </c>
      <c r="I118" s="39">
        <v>40817</v>
      </c>
      <c r="J118" s="39">
        <v>41183</v>
      </c>
      <c r="K118" s="33" t="s">
        <v>140</v>
      </c>
      <c r="L118" s="33"/>
      <c r="M118" s="39" t="s">
        <v>71</v>
      </c>
      <c r="N118" s="40" t="s">
        <v>43</v>
      </c>
      <c r="O118" s="41">
        <v>2</v>
      </c>
      <c r="P118" s="42">
        <v>3</v>
      </c>
      <c r="Q118" s="43">
        <v>45395</v>
      </c>
      <c r="R118" s="55" t="s">
        <v>44</v>
      </c>
      <c r="S118" s="44">
        <v>13348</v>
      </c>
      <c r="T118" s="45">
        <v>98875757</v>
      </c>
    </row>
    <row r="119" spans="1:20" s="46" customFormat="1" ht="21" customHeight="1" x14ac:dyDescent="0.75">
      <c r="A119" s="33">
        <f t="shared" si="1"/>
        <v>112</v>
      </c>
      <c r="B119" s="38">
        <v>2930800046</v>
      </c>
      <c r="C119" s="32" t="s">
        <v>180</v>
      </c>
      <c r="D119" s="33" t="s">
        <v>30</v>
      </c>
      <c r="E119" s="39">
        <v>34111</v>
      </c>
      <c r="F119" s="33" t="s">
        <v>213</v>
      </c>
      <c r="G119" s="33" t="s">
        <v>35</v>
      </c>
      <c r="H119" s="33" t="s">
        <v>41</v>
      </c>
      <c r="I119" s="39">
        <v>41548</v>
      </c>
      <c r="J119" s="39">
        <v>41913.25</v>
      </c>
      <c r="K119" s="33" t="s">
        <v>35</v>
      </c>
      <c r="L119" s="33" t="s">
        <v>54</v>
      </c>
      <c r="M119" s="39" t="s">
        <v>59</v>
      </c>
      <c r="N119" s="40" t="s">
        <v>43</v>
      </c>
      <c r="O119" s="41">
        <v>2</v>
      </c>
      <c r="P119" s="42">
        <v>3</v>
      </c>
      <c r="Q119" s="43">
        <v>45760</v>
      </c>
      <c r="R119" s="55" t="s">
        <v>215</v>
      </c>
      <c r="S119" s="44">
        <v>5234</v>
      </c>
      <c r="T119" s="45" t="s">
        <v>221</v>
      </c>
    </row>
    <row r="120" spans="1:20" s="46" customFormat="1" ht="21" customHeight="1" x14ac:dyDescent="0.75">
      <c r="A120" s="33">
        <f t="shared" si="1"/>
        <v>113</v>
      </c>
      <c r="B120" s="38">
        <v>1931200042</v>
      </c>
      <c r="C120" s="32" t="s">
        <v>181</v>
      </c>
      <c r="D120" s="33" t="s">
        <v>22</v>
      </c>
      <c r="E120" s="39">
        <v>34275</v>
      </c>
      <c r="F120" s="33" t="s">
        <v>95</v>
      </c>
      <c r="G120" s="33" t="s">
        <v>264</v>
      </c>
      <c r="H120" s="33" t="s">
        <v>41</v>
      </c>
      <c r="I120" s="39">
        <v>42278</v>
      </c>
      <c r="J120" s="39">
        <v>42643.25</v>
      </c>
      <c r="K120" s="33" t="s">
        <v>140</v>
      </c>
      <c r="L120" s="33"/>
      <c r="M120" s="39" t="s">
        <v>71</v>
      </c>
      <c r="N120" s="40" t="s">
        <v>43</v>
      </c>
      <c r="O120" s="41">
        <v>2</v>
      </c>
      <c r="P120" s="42">
        <v>4</v>
      </c>
      <c r="Q120" s="43">
        <v>45760</v>
      </c>
      <c r="R120" s="55" t="s">
        <v>215</v>
      </c>
      <c r="S120" s="44">
        <v>5575</v>
      </c>
      <c r="T120" s="45" t="s">
        <v>222</v>
      </c>
    </row>
    <row r="121" spans="1:20" s="46" customFormat="1" ht="21" customHeight="1" x14ac:dyDescent="0.75">
      <c r="A121" s="33">
        <f t="shared" si="1"/>
        <v>114</v>
      </c>
      <c r="B121" s="38">
        <v>2951200032</v>
      </c>
      <c r="C121" s="32" t="s">
        <v>182</v>
      </c>
      <c r="D121" s="33" t="s">
        <v>30</v>
      </c>
      <c r="E121" s="39">
        <v>34741</v>
      </c>
      <c r="F121" s="33" t="s">
        <v>213</v>
      </c>
      <c r="G121" s="33" t="s">
        <v>42</v>
      </c>
      <c r="H121" s="33" t="s">
        <v>41</v>
      </c>
      <c r="I121" s="39">
        <v>42278</v>
      </c>
      <c r="J121" s="39">
        <v>42643.25</v>
      </c>
      <c r="K121" s="33" t="s">
        <v>42</v>
      </c>
      <c r="L121" s="33" t="s">
        <v>38</v>
      </c>
      <c r="M121" s="39" t="s">
        <v>59</v>
      </c>
      <c r="N121" s="40" t="s">
        <v>43</v>
      </c>
      <c r="O121" s="41">
        <v>2</v>
      </c>
      <c r="P121" s="42">
        <v>4</v>
      </c>
      <c r="Q121" s="43">
        <v>45760</v>
      </c>
      <c r="R121" s="55" t="s">
        <v>215</v>
      </c>
      <c r="S121" s="44">
        <v>5574</v>
      </c>
      <c r="T121" s="45" t="s">
        <v>223</v>
      </c>
    </row>
    <row r="122" spans="1:20" s="46" customFormat="1" ht="21" customHeight="1" x14ac:dyDescent="0.75">
      <c r="A122" s="33">
        <f t="shared" si="1"/>
        <v>115</v>
      </c>
      <c r="B122" s="38">
        <v>2790800101</v>
      </c>
      <c r="C122" s="32" t="s">
        <v>183</v>
      </c>
      <c r="D122" s="33" t="s">
        <v>30</v>
      </c>
      <c r="E122" s="39">
        <v>29134</v>
      </c>
      <c r="F122" s="33" t="s">
        <v>31</v>
      </c>
      <c r="G122" s="33" t="s">
        <v>66</v>
      </c>
      <c r="H122" s="33" t="s">
        <v>184</v>
      </c>
      <c r="I122" s="39">
        <v>36802</v>
      </c>
      <c r="J122" s="39">
        <v>37167.25</v>
      </c>
      <c r="K122" s="33"/>
      <c r="L122" s="33"/>
      <c r="M122" s="39" t="s">
        <v>59</v>
      </c>
      <c r="N122" s="40" t="s">
        <v>185</v>
      </c>
      <c r="O122" s="41">
        <v>4</v>
      </c>
      <c r="P122" s="42"/>
      <c r="Q122" s="43">
        <v>45395</v>
      </c>
      <c r="R122" s="55" t="s">
        <v>44</v>
      </c>
      <c r="S122" s="44">
        <v>13791</v>
      </c>
      <c r="T122" s="45">
        <v>15202150</v>
      </c>
    </row>
    <row r="123" spans="1:20" s="46" customFormat="1" ht="21" customHeight="1" x14ac:dyDescent="0.75">
      <c r="A123" s="33">
        <f t="shared" si="1"/>
        <v>116</v>
      </c>
      <c r="B123" s="38">
        <v>2820800174</v>
      </c>
      <c r="C123" s="32" t="s">
        <v>186</v>
      </c>
      <c r="D123" s="33" t="s">
        <v>30</v>
      </c>
      <c r="E123" s="39">
        <v>30118</v>
      </c>
      <c r="F123" s="33" t="s">
        <v>95</v>
      </c>
      <c r="G123" s="33"/>
      <c r="H123" s="33" t="s">
        <v>184</v>
      </c>
      <c r="I123" s="39">
        <v>37895</v>
      </c>
      <c r="J123" s="39">
        <v>38260.25</v>
      </c>
      <c r="K123" s="33"/>
      <c r="L123" s="33"/>
      <c r="M123" s="39" t="s">
        <v>71</v>
      </c>
      <c r="N123" s="40" t="s">
        <v>185</v>
      </c>
      <c r="O123" s="41">
        <v>4</v>
      </c>
      <c r="P123" s="42"/>
      <c r="Q123" s="43">
        <v>45395</v>
      </c>
      <c r="R123" s="55" t="s">
        <v>44</v>
      </c>
      <c r="S123" s="44">
        <v>13850</v>
      </c>
      <c r="T123" s="45">
        <v>78630885</v>
      </c>
    </row>
    <row r="124" spans="1:20" s="46" customFormat="1" ht="21" customHeight="1" x14ac:dyDescent="0.75">
      <c r="A124" s="33">
        <f t="shared" si="1"/>
        <v>117</v>
      </c>
      <c r="B124" s="38">
        <v>2830800146</v>
      </c>
      <c r="C124" s="32" t="s">
        <v>187</v>
      </c>
      <c r="D124" s="33" t="s">
        <v>30</v>
      </c>
      <c r="E124" s="39">
        <v>30595</v>
      </c>
      <c r="F124" s="33" t="s">
        <v>95</v>
      </c>
      <c r="G124" s="33"/>
      <c r="H124" s="33" t="s">
        <v>184</v>
      </c>
      <c r="I124" s="39">
        <v>37895</v>
      </c>
      <c r="J124" s="39">
        <v>38261</v>
      </c>
      <c r="K124" s="33"/>
      <c r="L124" s="33"/>
      <c r="M124" s="39" t="s">
        <v>59</v>
      </c>
      <c r="N124" s="40" t="s">
        <v>185</v>
      </c>
      <c r="O124" s="41">
        <v>4</v>
      </c>
      <c r="P124" s="42"/>
      <c r="Q124" s="43">
        <v>45395</v>
      </c>
      <c r="R124" s="55" t="s">
        <v>44</v>
      </c>
      <c r="S124" s="44">
        <v>13883</v>
      </c>
      <c r="T124" s="45">
        <v>969376300</v>
      </c>
    </row>
    <row r="125" spans="1:20" s="46" customFormat="1" ht="21" customHeight="1" x14ac:dyDescent="0.75">
      <c r="A125" s="33">
        <f t="shared" si="1"/>
        <v>118</v>
      </c>
      <c r="B125" s="38">
        <v>2880800035</v>
      </c>
      <c r="C125" s="32" t="s">
        <v>188</v>
      </c>
      <c r="D125" s="33" t="s">
        <v>30</v>
      </c>
      <c r="E125" s="39">
        <v>32188</v>
      </c>
      <c r="F125" s="33" t="s">
        <v>95</v>
      </c>
      <c r="G125" s="33"/>
      <c r="H125" s="33" t="s">
        <v>184</v>
      </c>
      <c r="I125" s="39">
        <v>40087</v>
      </c>
      <c r="J125" s="39">
        <v>40452.25</v>
      </c>
      <c r="K125" s="33"/>
      <c r="L125" s="33"/>
      <c r="M125" s="39" t="s">
        <v>71</v>
      </c>
      <c r="N125" s="40" t="s">
        <v>185</v>
      </c>
      <c r="O125" s="41">
        <v>4</v>
      </c>
      <c r="P125" s="42"/>
      <c r="Q125" s="43">
        <v>45395</v>
      </c>
      <c r="R125" s="55" t="s">
        <v>44</v>
      </c>
      <c r="S125" s="44">
        <v>13985</v>
      </c>
      <c r="T125" s="45">
        <v>81775827</v>
      </c>
    </row>
    <row r="126" spans="1:20" s="46" customFormat="1" ht="21" customHeight="1" x14ac:dyDescent="0.75">
      <c r="A126" s="33">
        <f t="shared" si="1"/>
        <v>119</v>
      </c>
      <c r="B126" s="38">
        <v>1900500004</v>
      </c>
      <c r="C126" s="32" t="s">
        <v>189</v>
      </c>
      <c r="D126" s="33" t="s">
        <v>22</v>
      </c>
      <c r="E126" s="39">
        <v>33161</v>
      </c>
      <c r="F126" s="33" t="s">
        <v>95</v>
      </c>
      <c r="G126" s="33"/>
      <c r="H126" s="33" t="s">
        <v>184</v>
      </c>
      <c r="I126" s="39">
        <v>40087</v>
      </c>
      <c r="J126" s="39">
        <v>40452.25</v>
      </c>
      <c r="K126" s="33"/>
      <c r="L126" s="33"/>
      <c r="M126" s="39" t="s">
        <v>59</v>
      </c>
      <c r="N126" s="40" t="s">
        <v>185</v>
      </c>
      <c r="O126" s="41">
        <v>4</v>
      </c>
      <c r="P126" s="42"/>
      <c r="Q126" s="43">
        <v>45395</v>
      </c>
      <c r="R126" s="55" t="s">
        <v>44</v>
      </c>
      <c r="S126" s="44">
        <v>14014</v>
      </c>
      <c r="T126" s="45">
        <v>92898487</v>
      </c>
    </row>
    <row r="127" spans="1:20" ht="24" customHeight="1" x14ac:dyDescent="0.8">
      <c r="A127" s="29"/>
      <c r="B127" s="61" t="s">
        <v>190</v>
      </c>
      <c r="C127" s="61"/>
      <c r="D127" s="53">
        <f>COUNTA(C8:C126)</f>
        <v>119</v>
      </c>
      <c r="E127" s="80" t="s">
        <v>227</v>
      </c>
      <c r="F127" s="80"/>
      <c r="G127" s="56"/>
      <c r="H127" s="10">
        <f>D127</f>
        <v>119</v>
      </c>
      <c r="I127" s="11">
        <f>COUNTIF(D8:D126,"ស")</f>
        <v>64</v>
      </c>
      <c r="J127" s="12"/>
      <c r="K127" s="12"/>
      <c r="L127" s="12"/>
      <c r="M127" s="13"/>
      <c r="N127" s="61" t="s">
        <v>205</v>
      </c>
      <c r="O127" s="61"/>
      <c r="P127" s="61"/>
      <c r="Q127" s="61"/>
      <c r="R127" s="61"/>
      <c r="S127" s="61"/>
      <c r="T127" s="61"/>
    </row>
    <row r="128" spans="1:20" ht="20.25" customHeight="1" x14ac:dyDescent="0.3">
      <c r="A128" s="79" t="s">
        <v>191</v>
      </c>
      <c r="B128" s="79"/>
      <c r="C128" s="34">
        <f>COUNTIF($H$8:$H$126,"គ្រូទុតិយភូមិ")</f>
        <v>60</v>
      </c>
      <c r="D128" s="28">
        <f>COUNTIFS($D$8:$D$126,"ស",$H$8:$H$126,"គ្រូទុតិយភូមិ")</f>
        <v>29</v>
      </c>
      <c r="E128" s="14" t="s">
        <v>192</v>
      </c>
      <c r="F128" s="30"/>
      <c r="G128" s="30"/>
      <c r="H128" s="16"/>
      <c r="I128" s="16"/>
      <c r="J128" s="16"/>
      <c r="K128" s="3"/>
      <c r="L128" s="17"/>
      <c r="M128" s="18"/>
      <c r="N128" s="62" t="s">
        <v>206</v>
      </c>
      <c r="O128" s="62"/>
      <c r="P128" s="62"/>
      <c r="Q128" s="62"/>
      <c r="R128" s="62"/>
      <c r="S128" s="62"/>
      <c r="T128" s="62"/>
    </row>
    <row r="129" spans="1:20" ht="20.25" customHeight="1" x14ac:dyDescent="0.3">
      <c r="A129" s="17" t="s">
        <v>193</v>
      </c>
      <c r="B129" s="17"/>
      <c r="C129" s="19">
        <f>COUNTIF($H$8:$H$126,"គ្រូបឋមភូមិ")</f>
        <v>54</v>
      </c>
      <c r="D129" s="28">
        <f>COUNTIFS($D$8:$D$126,"ស",$H$8:$H$126,"គ្រូបឋមភូមិ")</f>
        <v>31</v>
      </c>
      <c r="E129" s="14" t="s">
        <v>192</v>
      </c>
      <c r="F129" s="31"/>
      <c r="G129" s="31"/>
      <c r="H129" s="64" t="s">
        <v>194</v>
      </c>
      <c r="I129" s="64"/>
      <c r="J129" s="64"/>
      <c r="K129" s="64"/>
      <c r="L129" s="64"/>
      <c r="M129" s="64"/>
      <c r="N129" s="63" t="s">
        <v>195</v>
      </c>
      <c r="O129" s="63"/>
      <c r="P129" s="63"/>
      <c r="Q129" s="63"/>
      <c r="R129" s="63"/>
      <c r="S129" s="63"/>
      <c r="T129" s="63"/>
    </row>
    <row r="130" spans="1:20" ht="20.25" customHeight="1" x14ac:dyDescent="0.3">
      <c r="A130" s="17" t="s">
        <v>196</v>
      </c>
      <c r="B130" s="17"/>
      <c r="C130" s="20">
        <f>COUNTIF($H$8:$H$126,"គ្រូកម្រិតបឋម")</f>
        <v>5</v>
      </c>
      <c r="D130" s="28">
        <f>COUNTIFS($D$8:$D$126,"ស",$H$8:$H$126,"គ្រូកម្រិតបឋម")</f>
        <v>4</v>
      </c>
      <c r="E130" s="14" t="s">
        <v>192</v>
      </c>
      <c r="F130" s="31"/>
      <c r="G130" s="31"/>
      <c r="H130" s="62" t="s">
        <v>207</v>
      </c>
      <c r="I130" s="62"/>
      <c r="J130" s="62"/>
      <c r="K130" s="62"/>
      <c r="L130" s="62"/>
      <c r="M130" s="62"/>
      <c r="N130" s="15"/>
      <c r="O130" s="15"/>
      <c r="P130" s="15"/>
      <c r="Q130" s="15"/>
      <c r="R130" s="15"/>
      <c r="S130" s="15"/>
      <c r="T130" s="16"/>
    </row>
    <row r="131" spans="1:20" ht="20.25" customHeight="1" x14ac:dyDescent="0.8">
      <c r="A131" s="12"/>
      <c r="B131" s="12"/>
      <c r="C131" s="12"/>
      <c r="D131" s="12"/>
      <c r="E131" s="12"/>
      <c r="F131" s="12"/>
      <c r="G131" s="12"/>
      <c r="H131" s="58" t="s">
        <v>208</v>
      </c>
      <c r="I131" s="58"/>
      <c r="J131" s="58"/>
      <c r="K131" s="58"/>
      <c r="L131" s="58"/>
      <c r="M131" s="58"/>
      <c r="N131" s="21"/>
      <c r="O131" s="21"/>
      <c r="P131" s="21"/>
      <c r="Q131" s="21"/>
      <c r="R131" s="21"/>
      <c r="S131" s="21"/>
      <c r="T131" s="22"/>
    </row>
    <row r="132" spans="1:20" ht="20.25" customHeight="1" x14ac:dyDescent="0.3">
      <c r="A132" s="60" t="s">
        <v>224</v>
      </c>
      <c r="B132" s="60"/>
      <c r="C132" s="35" t="s">
        <v>197</v>
      </c>
      <c r="D132" s="29">
        <v>249</v>
      </c>
      <c r="E132" s="36" t="s">
        <v>198</v>
      </c>
      <c r="F132" s="37">
        <v>131</v>
      </c>
      <c r="G132" s="37"/>
      <c r="H132" s="59" t="s">
        <v>199</v>
      </c>
      <c r="I132" s="59"/>
      <c r="J132" s="59"/>
      <c r="K132" s="59"/>
      <c r="L132" s="59"/>
      <c r="M132" s="59"/>
      <c r="N132" s="23"/>
      <c r="O132" s="23"/>
      <c r="P132" s="23"/>
      <c r="Q132" s="23"/>
      <c r="R132" s="23"/>
      <c r="S132" s="23"/>
      <c r="T132" s="54"/>
    </row>
    <row r="133" spans="1:20" ht="20.25" customHeight="1" x14ac:dyDescent="0.8">
      <c r="A133" s="60" t="s">
        <v>200</v>
      </c>
      <c r="B133" s="60"/>
      <c r="C133" s="35" t="s">
        <v>197</v>
      </c>
      <c r="D133" s="29">
        <v>183</v>
      </c>
      <c r="E133" s="36" t="s">
        <v>198</v>
      </c>
      <c r="F133" s="37">
        <v>108</v>
      </c>
      <c r="G133" s="37"/>
      <c r="H133" s="3"/>
      <c r="I133" s="3"/>
      <c r="J133" s="3"/>
      <c r="K133" s="16"/>
      <c r="L133" s="3"/>
      <c r="M133" s="15"/>
      <c r="N133" s="15"/>
      <c r="O133" s="15"/>
      <c r="P133" s="15"/>
      <c r="Q133" s="15"/>
      <c r="R133" s="13"/>
      <c r="S133" s="13"/>
      <c r="T133" s="12"/>
    </row>
    <row r="134" spans="1:20" ht="20.25" customHeight="1" x14ac:dyDescent="0.8">
      <c r="A134" s="60" t="s">
        <v>228</v>
      </c>
      <c r="B134" s="60"/>
      <c r="C134" s="35" t="s">
        <v>197</v>
      </c>
      <c r="D134" s="29">
        <v>160</v>
      </c>
      <c r="E134" s="36" t="s">
        <v>198</v>
      </c>
      <c r="F134" s="37">
        <v>87</v>
      </c>
      <c r="G134" s="37"/>
      <c r="H134" s="3"/>
      <c r="I134" s="3"/>
      <c r="J134" s="3"/>
      <c r="K134" s="16"/>
      <c r="L134" s="3"/>
      <c r="M134" s="15"/>
      <c r="N134" s="15"/>
      <c r="O134" s="15"/>
      <c r="P134" s="15"/>
      <c r="Q134" s="15"/>
      <c r="R134" s="13"/>
      <c r="S134" s="13"/>
      <c r="T134" s="12"/>
    </row>
    <row r="135" spans="1:20" ht="20.25" customHeight="1" x14ac:dyDescent="0.8">
      <c r="A135" s="60" t="s">
        <v>225</v>
      </c>
      <c r="B135" s="60"/>
      <c r="C135" s="35" t="s">
        <v>197</v>
      </c>
      <c r="D135" s="29">
        <v>476</v>
      </c>
      <c r="E135" s="36" t="s">
        <v>198</v>
      </c>
      <c r="F135" s="37">
        <v>255</v>
      </c>
      <c r="G135" s="37"/>
      <c r="H135" s="3"/>
      <c r="I135" s="51"/>
      <c r="J135" s="3"/>
      <c r="K135" s="16"/>
      <c r="L135" s="3"/>
      <c r="M135" s="15"/>
      <c r="N135" s="15"/>
      <c r="O135" s="15"/>
      <c r="P135" s="15"/>
      <c r="Q135" s="15"/>
      <c r="R135" s="13"/>
      <c r="S135" s="13"/>
      <c r="T135" s="12"/>
    </row>
    <row r="136" spans="1:20" ht="20.25" customHeight="1" x14ac:dyDescent="0.8">
      <c r="A136" s="60" t="s">
        <v>201</v>
      </c>
      <c r="B136" s="60"/>
      <c r="C136" s="35" t="s">
        <v>197</v>
      </c>
      <c r="D136" s="29">
        <v>460</v>
      </c>
      <c r="E136" s="36" t="s">
        <v>198</v>
      </c>
      <c r="F136" s="37">
        <v>263</v>
      </c>
      <c r="G136" s="37"/>
      <c r="H136" s="3"/>
      <c r="I136" s="52"/>
      <c r="J136" s="3"/>
      <c r="K136" s="17"/>
      <c r="L136" s="17"/>
      <c r="M136" s="24"/>
      <c r="N136" s="25"/>
      <c r="O136" s="26"/>
      <c r="P136" s="15"/>
      <c r="Q136" s="15"/>
      <c r="R136" s="13"/>
      <c r="S136" s="13"/>
      <c r="T136" s="12"/>
    </row>
    <row r="137" spans="1:20" ht="22.8" x14ac:dyDescent="0.8">
      <c r="A137" s="60" t="s">
        <v>226</v>
      </c>
      <c r="B137" s="60"/>
      <c r="C137" s="35" t="s">
        <v>197</v>
      </c>
      <c r="D137" s="29">
        <v>434</v>
      </c>
      <c r="E137" s="36" t="s">
        <v>198</v>
      </c>
      <c r="F137" s="37">
        <v>264</v>
      </c>
      <c r="G137" s="37"/>
      <c r="H137" s="12"/>
      <c r="I137" s="52"/>
      <c r="J137" s="12"/>
      <c r="K137" s="17"/>
      <c r="L137" s="17"/>
      <c r="M137" s="27"/>
      <c r="N137" s="25"/>
      <c r="O137" s="26"/>
      <c r="P137" s="13"/>
      <c r="Q137" s="13"/>
      <c r="R137" s="13"/>
      <c r="S137" s="13"/>
      <c r="T137" s="12"/>
    </row>
    <row r="138" spans="1:20" ht="24" x14ac:dyDescent="0.3">
      <c r="I138" s="52"/>
      <c r="K138" s="2"/>
      <c r="L138" s="2"/>
      <c r="M138" s="7"/>
      <c r="N138" s="8"/>
      <c r="O138" s="9"/>
    </row>
    <row r="139" spans="1:20" x14ac:dyDescent="0.3">
      <c r="I139"/>
    </row>
    <row r="140" spans="1:20" x14ac:dyDescent="0.3">
      <c r="I140"/>
    </row>
  </sheetData>
  <mergeCells count="37">
    <mergeCell ref="L1:T1"/>
    <mergeCell ref="L2:T2"/>
    <mergeCell ref="A132:B132"/>
    <mergeCell ref="K6:K7"/>
    <mergeCell ref="L6:L7"/>
    <mergeCell ref="I6:I7"/>
    <mergeCell ref="M6:M7"/>
    <mergeCell ref="A5:T5"/>
    <mergeCell ref="A2:D2"/>
    <mergeCell ref="A3:D3"/>
    <mergeCell ref="A128:B128"/>
    <mergeCell ref="B127:C127"/>
    <mergeCell ref="E127:F127"/>
    <mergeCell ref="T6:T7"/>
    <mergeCell ref="N7:P7"/>
    <mergeCell ref="H6:H7"/>
    <mergeCell ref="J6:J7"/>
    <mergeCell ref="E6:E7"/>
    <mergeCell ref="N6:S6"/>
    <mergeCell ref="F6:G6"/>
    <mergeCell ref="A137:B137"/>
    <mergeCell ref="A134:B134"/>
    <mergeCell ref="A4:D4"/>
    <mergeCell ref="A6:A7"/>
    <mergeCell ref="B6:B7"/>
    <mergeCell ref="C6:C7"/>
    <mergeCell ref="D6:D7"/>
    <mergeCell ref="A133:B133"/>
    <mergeCell ref="H131:M131"/>
    <mergeCell ref="H132:M132"/>
    <mergeCell ref="A135:B135"/>
    <mergeCell ref="A136:B136"/>
    <mergeCell ref="N127:T127"/>
    <mergeCell ref="N128:T128"/>
    <mergeCell ref="N129:T129"/>
    <mergeCell ref="H130:M130"/>
    <mergeCell ref="H129:M129"/>
  </mergeCells>
  <phoneticPr fontId="12" type="noConversion"/>
  <printOptions horizontalCentered="1"/>
  <pageMargins left="0.49" right="0.35" top="0.39370078740157483" bottom="0.35433070866141736" header="0.31496062992125984" footer="0.31496062992125984"/>
  <pageSetup paperSize="9" scale="6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2026-2027</vt:lpstr>
      <vt:lpstr>'2026-2027'!Print_Area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</dc:creator>
  <cp:keywords/>
  <dc:description/>
  <cp:lastModifiedBy>blue vannak</cp:lastModifiedBy>
  <cp:revision/>
  <cp:lastPrinted>2026-05-02T03:47:06Z</cp:lastPrinted>
  <dcterms:created xsi:type="dcterms:W3CDTF">2018-02-07T06:40:23Z</dcterms:created>
  <dcterms:modified xsi:type="dcterms:W3CDTF">2026-09-08T08:45:37Z</dcterms:modified>
  <cp:category/>
  <cp:contentStatus/>
</cp:coreProperties>
</file>